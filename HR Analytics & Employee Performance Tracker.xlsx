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20730" windowHeight="10155"/>
  </bookViews>
  <sheets>
    <sheet name="Dashboard" sheetId="3" r:id="rId1"/>
    <sheet name="Employee_Database" sheetId="1" r:id="rId2"/>
    <sheet name="Analytics" sheetId="2" r:id="rId3"/>
    <sheet name="Documentation" sheetId="4" r:id="rId4"/>
  </sheets>
  <calcPr calcId="124519"/>
  <pivotCaches>
    <pivotCache cacheId="1" r:id="rId5"/>
  </pivotCaches>
</workbook>
</file>

<file path=xl/calcChain.xml><?xml version="1.0" encoding="utf-8"?>
<calcChain xmlns="http://schemas.openxmlformats.org/spreadsheetml/2006/main">
  <c r="B5" i="3"/>
  <c r="K2" i="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G5" i="3"/>
  <c r="L5"/>
</calcChain>
</file>

<file path=xl/sharedStrings.xml><?xml version="1.0" encoding="utf-8"?>
<sst xmlns="http://schemas.openxmlformats.org/spreadsheetml/2006/main" count="318" uniqueCount="160">
  <si>
    <t>Emp ID</t>
  </si>
  <si>
    <t>Full Name</t>
  </si>
  <si>
    <t>Department</t>
  </si>
  <si>
    <t>Gender</t>
  </si>
  <si>
    <t>Joining Date</t>
  </si>
  <si>
    <t>Salary</t>
  </si>
  <si>
    <t>Rating</t>
  </si>
  <si>
    <t>Leaves</t>
  </si>
  <si>
    <t>Region</t>
  </si>
  <si>
    <t>E001</t>
  </si>
  <si>
    <t>Rahul Sharma</t>
  </si>
  <si>
    <t>IT</t>
  </si>
  <si>
    <t>Male</t>
  </si>
  <si>
    <t>Indore</t>
  </si>
  <si>
    <t>E002</t>
  </si>
  <si>
    <t>Priya Verma</t>
  </si>
  <si>
    <t>HR</t>
  </si>
  <si>
    <t>Female</t>
  </si>
  <si>
    <t>Udaipur</t>
  </si>
  <si>
    <t>E003</t>
  </si>
  <si>
    <t>Amit Patel</t>
  </si>
  <si>
    <t>Sales</t>
  </si>
  <si>
    <t>E004</t>
  </si>
  <si>
    <t>Sneha Reddy</t>
  </si>
  <si>
    <t>Finance</t>
  </si>
  <si>
    <t>E005</t>
  </si>
  <si>
    <t>Vikram Singh</t>
  </si>
  <si>
    <t>E006</t>
  </si>
  <si>
    <t>Ananya Gupta</t>
  </si>
  <si>
    <t>E007</t>
  </si>
  <si>
    <t>Rohan Mehta</t>
  </si>
  <si>
    <t>E008</t>
  </si>
  <si>
    <t>Kavita Jain</t>
  </si>
  <si>
    <t>E009</t>
  </si>
  <si>
    <t>Manish Ali</t>
  </si>
  <si>
    <t>E010</t>
  </si>
  <si>
    <t>Pooja Dubey</t>
  </si>
  <si>
    <t>E011</t>
  </si>
  <si>
    <t>Karan Malhotra</t>
  </si>
  <si>
    <t>E012</t>
  </si>
  <si>
    <t>Neha Kapoor</t>
  </si>
  <si>
    <t>E013</t>
  </si>
  <si>
    <t>Suresh Iyer</t>
  </si>
  <si>
    <t>E014</t>
  </si>
  <si>
    <t>Megha Saxena</t>
  </si>
  <si>
    <t>E015</t>
  </si>
  <si>
    <t>Aditya Joshi</t>
  </si>
  <si>
    <t>E016</t>
  </si>
  <si>
    <t>Swati Mishra</t>
  </si>
  <si>
    <t>E017</t>
  </si>
  <si>
    <t>Deepak Kumar</t>
  </si>
  <si>
    <t>E018</t>
  </si>
  <si>
    <t>Ritu Singh</t>
  </si>
  <si>
    <t>E019</t>
  </si>
  <si>
    <t>Pankaj Vyas</t>
  </si>
  <si>
    <t>E020</t>
  </si>
  <si>
    <t>Simran Kaur</t>
  </si>
  <si>
    <t>E021</t>
  </si>
  <si>
    <t>Yash Wardhan</t>
  </si>
  <si>
    <t>E022</t>
  </si>
  <si>
    <t>Divya Pant</t>
  </si>
  <si>
    <t>E023</t>
  </si>
  <si>
    <t>Nitin Gadkari</t>
  </si>
  <si>
    <t>E024</t>
  </si>
  <si>
    <t>Sapna Choudhary</t>
  </si>
  <si>
    <t>E025</t>
  </si>
  <si>
    <t>Rahul Dravid</t>
  </si>
  <si>
    <t>E026</t>
  </si>
  <si>
    <t>Ishani Bose</t>
  </si>
  <si>
    <t>E027</t>
  </si>
  <si>
    <t>Varun Dhawan</t>
  </si>
  <si>
    <t>E028</t>
  </si>
  <si>
    <t>Kriti Sanon</t>
  </si>
  <si>
    <t>E029</t>
  </si>
  <si>
    <t>Akash Ambani</t>
  </si>
  <si>
    <t>E030</t>
  </si>
  <si>
    <t>Kiara Advani</t>
  </si>
  <si>
    <t>E031</t>
  </si>
  <si>
    <t>Virat Kohli</t>
  </si>
  <si>
    <t>E032</t>
  </si>
  <si>
    <t>Anushka Sharma</t>
  </si>
  <si>
    <t>E033</t>
  </si>
  <si>
    <t>MS Dhoni</t>
  </si>
  <si>
    <t>E034</t>
  </si>
  <si>
    <t>Sakshi Rawat</t>
  </si>
  <si>
    <t>E035</t>
  </si>
  <si>
    <t>Rohit Sharma</t>
  </si>
  <si>
    <t>E036</t>
  </si>
  <si>
    <t>Ritika Sajdeh</t>
  </si>
  <si>
    <t>E037</t>
  </si>
  <si>
    <t>Hardik Pandya</t>
  </si>
  <si>
    <t>E038</t>
  </si>
  <si>
    <t>Natasa Stankovic</t>
  </si>
  <si>
    <t>E039</t>
  </si>
  <si>
    <t>KL Rahul</t>
  </si>
  <si>
    <t>E040</t>
  </si>
  <si>
    <t>Athiya Shetty</t>
  </si>
  <si>
    <t>E041</t>
  </si>
  <si>
    <t>Jasprit Bumrah</t>
  </si>
  <si>
    <t>E042</t>
  </si>
  <si>
    <t>Sanjana Ganesan</t>
  </si>
  <si>
    <t>E043</t>
  </si>
  <si>
    <t>Rishabh Pant</t>
  </si>
  <si>
    <t>E044</t>
  </si>
  <si>
    <t>Isha Negi</t>
  </si>
  <si>
    <t>E045</t>
  </si>
  <si>
    <t>Suryakumar Yadav</t>
  </si>
  <si>
    <t>E046</t>
  </si>
  <si>
    <t>Devisha Shetty</t>
  </si>
  <si>
    <t>E047</t>
  </si>
  <si>
    <t>Shreyas Iyer</t>
  </si>
  <si>
    <t>E048</t>
  </si>
  <si>
    <t>Dhanashree Verma</t>
  </si>
  <si>
    <t>E049</t>
  </si>
  <si>
    <t>Shubman Gill</t>
  </si>
  <si>
    <t>E050</t>
  </si>
  <si>
    <t>Sara Tendulkar</t>
  </si>
  <si>
    <t>Row Labels</t>
  </si>
  <si>
    <t>Grand Total</t>
  </si>
  <si>
    <t>Count of Emp ID</t>
  </si>
  <si>
    <t>Values</t>
  </si>
  <si>
    <t>Sum of Salary</t>
  </si>
  <si>
    <t>Average of Rating</t>
  </si>
  <si>
    <t>Attrition Risk</t>
  </si>
  <si>
    <t>Salary Bracket</t>
  </si>
  <si>
    <t>Total Employees</t>
  </si>
  <si>
    <t>Total Monthly Payroll</t>
  </si>
  <si>
    <t>Avg Performance</t>
  </si>
  <si>
    <t>High Risk</t>
  </si>
  <si>
    <t>Stable</t>
  </si>
  <si>
    <t>HR Analytics &amp; Employee Performance Tracker - 2026</t>
  </si>
  <si>
    <t>HR Analytics &amp; Employee Performance Tracker (2026)</t>
  </si>
  <si>
    <t>📋 Project Overview</t>
  </si>
  <si>
    <r>
      <t xml:space="preserve">The analysis is based on a dataset of </t>
    </r>
    <r>
      <rPr>
        <b/>
        <sz val="11"/>
        <color theme="1"/>
        <rFont val="Calibri"/>
        <family val="2"/>
        <scheme val="minor"/>
      </rPr>
      <t>50 employees</t>
    </r>
    <r>
      <rPr>
        <sz val="11"/>
        <color theme="1"/>
        <rFont val="Calibri"/>
        <family val="2"/>
        <scheme val="minor"/>
      </rPr>
      <t xml:space="preserve"> across two key regions: </t>
    </r>
    <r>
      <rPr>
        <b/>
        <sz val="11"/>
        <color theme="1"/>
        <rFont val="Calibri"/>
        <family val="2"/>
        <scheme val="minor"/>
      </rPr>
      <t>Indore and Udaipur</t>
    </r>
    <r>
      <rPr>
        <sz val="11"/>
        <color theme="1"/>
        <rFont val="Calibri"/>
        <family val="2"/>
        <scheme val="minor"/>
      </rPr>
      <t>.</t>
    </r>
  </si>
  <si>
    <t>🗝️ Key Features &amp; Insights</t>
  </si>
  <si>
    <r>
      <t>Interactive Dashboard:</t>
    </r>
    <r>
      <rPr>
        <sz val="11"/>
        <color theme="1"/>
        <rFont val="Calibri"/>
        <family val="2"/>
        <scheme val="minor"/>
      </rPr>
      <t xml:space="preserve"> A clean, grid-free visual interface featuring key performance indicators (KPIs).</t>
    </r>
  </si>
  <si>
    <r>
      <t>Performance Metrics:</t>
    </r>
    <r>
      <rPr>
        <sz val="11"/>
        <color theme="1"/>
        <rFont val="Calibri"/>
        <family val="2"/>
        <scheme val="minor"/>
      </rPr>
      <t xml:space="preserve"> Real-time tracking of the average employee rating, currently at </t>
    </r>
    <r>
      <rPr>
        <b/>
        <sz val="11"/>
        <color theme="1"/>
        <rFont val="Calibri"/>
        <family val="2"/>
        <scheme val="minor"/>
      </rPr>
      <t>3.86/5.0</t>
    </r>
    <r>
      <rPr>
        <sz val="11"/>
        <color theme="1"/>
        <rFont val="Calibri"/>
        <family val="2"/>
        <scheme val="minor"/>
      </rPr>
      <t>.</t>
    </r>
  </si>
  <si>
    <t>🧪 Technical Implementation (The "Backend" Logic)</t>
  </si>
  <si>
    <t>Advanced Formulas:</t>
  </si>
  <si>
    <r>
      <t>Attrition Logic:</t>
    </r>
    <r>
      <rPr>
        <sz val="11"/>
        <color theme="1"/>
        <rFont val="Calibri"/>
        <family val="2"/>
        <scheme val="minor"/>
      </rPr>
      <t xml:space="preserve"> Used </t>
    </r>
    <r>
      <rPr>
        <sz val="10"/>
        <color theme="1"/>
        <rFont val="Arial Unicode MS"/>
        <family val="2"/>
      </rPr>
      <t>IF(AND())</t>
    </r>
    <r>
      <rPr>
        <sz val="11"/>
        <color theme="1"/>
        <rFont val="Calibri"/>
        <family val="2"/>
        <scheme val="minor"/>
      </rPr>
      <t xml:space="preserve"> functions to flag critical staff.</t>
    </r>
  </si>
  <si>
    <r>
      <t>Salary Bracketing:</t>
    </r>
    <r>
      <rPr>
        <sz val="11"/>
        <color theme="1"/>
        <rFont val="Calibri"/>
        <family val="2"/>
        <scheme val="minor"/>
      </rPr>
      <t xml:space="preserve"> Categorized employees into High, Mid, and Low salary groups.</t>
    </r>
  </si>
  <si>
    <r>
      <t>Pivot Tables:</t>
    </r>
    <r>
      <rPr>
        <sz val="11"/>
        <color theme="1"/>
        <rFont val="Calibri"/>
        <family val="2"/>
        <scheme val="minor"/>
      </rPr>
      <t xml:space="preserve"> Automated data aggregation for regional and departmental summaries.</t>
    </r>
  </si>
  <si>
    <t>🛠️ Tools Used</t>
  </si>
  <si>
    <r>
      <t>Microsoft Excel 2007</t>
    </r>
    <r>
      <rPr>
        <sz val="11"/>
        <color theme="1"/>
        <rFont val="Calibri"/>
        <family val="2"/>
        <scheme val="minor"/>
      </rPr>
      <t xml:space="preserve"> (Core Analysis &amp; Visualization).</t>
    </r>
  </si>
  <si>
    <r>
      <t>Pivot Table Engine</t>
    </r>
    <r>
      <rPr>
        <sz val="11"/>
        <color theme="1"/>
        <rFont val="Calibri"/>
        <family val="2"/>
        <scheme val="minor"/>
      </rPr>
      <t xml:space="preserve"> (Data Summarization).</t>
    </r>
  </si>
  <si>
    <r>
      <t>Logical Functions</t>
    </r>
    <r>
      <rPr>
        <sz val="11"/>
        <color theme="1"/>
        <rFont val="Calibri"/>
        <family val="2"/>
        <scheme val="minor"/>
      </rPr>
      <t xml:space="preserve"> (Predictive Analysis).</t>
    </r>
  </si>
  <si>
    <r>
      <t xml:space="preserve">This project is a comprehensive </t>
    </r>
    <r>
      <rPr>
        <b/>
        <sz val="11"/>
        <color theme="1"/>
        <rFont val="Calibri"/>
        <family val="2"/>
        <scheme val="minor"/>
      </rPr>
      <t>HR Management Tool</t>
    </r>
    <r>
      <rPr>
        <sz val="11"/>
        <color theme="1"/>
        <rFont val="Calibri"/>
        <family val="2"/>
        <scheme val="minor"/>
      </rPr>
      <t xml:space="preserve"> developed using </t>
    </r>
    <r>
      <rPr>
        <b/>
        <sz val="11"/>
        <color theme="1"/>
        <rFont val="Calibri"/>
        <family val="2"/>
        <scheme val="minor"/>
      </rPr>
      <t>Microsoft Excel 2007</t>
    </r>
    <r>
      <rPr>
        <sz val="11"/>
        <color theme="1"/>
        <rFont val="Calibri"/>
        <family val="2"/>
        <scheme val="minor"/>
      </rPr>
      <t xml:space="preserve">. It is </t>
    </r>
  </si>
  <si>
    <t xml:space="preserve">designed to help HR professionals and managers track employee performance, analyze salary </t>
  </si>
  <si>
    <t>distributions, and identify potential attrition risks within an organization.</t>
  </si>
  <si>
    <r>
      <t>Attrition Risk Analysis:</t>
    </r>
    <r>
      <rPr>
        <sz val="11"/>
        <color theme="1"/>
        <rFont val="Calibri"/>
        <family val="2"/>
        <scheme val="minor"/>
      </rPr>
      <t xml:space="preserve"> A logical system that identifies "High Risk" employees (12%) based on low .</t>
    </r>
  </si>
  <si>
    <t xml:space="preserve">        performance and high leave frequency</t>
  </si>
  <si>
    <r>
      <t>Regional Workforce Distribution:</t>
    </r>
    <r>
      <rPr>
        <sz val="11"/>
        <color theme="1"/>
        <rFont val="Calibri"/>
        <family val="2"/>
        <scheme val="minor"/>
      </rPr>
      <t xml:space="preserve"> Balanced insights showing a </t>
    </r>
    <r>
      <rPr>
        <b/>
        <sz val="11"/>
        <color theme="1"/>
        <rFont val="Calibri"/>
        <family val="2"/>
        <scheme val="minor"/>
      </rPr>
      <t>52% (Indore)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48% (Udaipur)</t>
    </r>
    <r>
      <rPr>
        <sz val="11"/>
        <color theme="1"/>
        <rFont val="Calibri"/>
        <family val="2"/>
        <scheme val="minor"/>
      </rPr>
      <t xml:space="preserve"> </t>
    </r>
  </si>
  <si>
    <t xml:space="preserve">        employee split.</t>
  </si>
  <si>
    <r>
      <t>Department-wise Payroll Tracking:</t>
    </r>
    <r>
      <rPr>
        <sz val="11"/>
        <color theme="1"/>
        <rFont val="Calibri"/>
        <family val="2"/>
        <scheme val="minor"/>
      </rPr>
      <t xml:space="preserve"> Deep dive into salary costs, identifying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as the highest </t>
    </r>
  </si>
  <si>
    <t xml:space="preserve">           expenditure department.</t>
  </si>
  <si>
    <r>
      <t>Data Structuring:</t>
    </r>
    <r>
      <rPr>
        <sz val="11"/>
        <color theme="1"/>
        <rFont val="Calibri"/>
        <family val="2"/>
        <scheme val="minor"/>
      </rPr>
      <t xml:space="preserve"> Managed raw employee data including IDs, Departments, Joining Dates, and </t>
    </r>
  </si>
  <si>
    <t xml:space="preserve">                Performance Scores.</t>
  </si>
  <si>
    <r>
      <t>Data Visualization:</t>
    </r>
    <r>
      <rPr>
        <sz val="11"/>
        <color theme="1"/>
        <rFont val="Calibri"/>
        <family val="2"/>
        <scheme val="minor"/>
      </rPr>
      <t xml:space="preserve"> Utilized Clustered Bar Charts, Pie Charts, and Doughnut Charts optimized for </t>
    </r>
  </si>
  <si>
    <t>Excel 2007.</t>
  </si>
  <si>
    <r>
      <t>Project Developed by:</t>
    </r>
    <r>
      <rPr>
        <sz val="11"/>
        <color theme="1"/>
        <rFont val="Calibri"/>
        <family val="2"/>
        <scheme val="minor"/>
      </rPr>
      <t xml:space="preserve"> Zarrar Abedin Pathan </t>
    </r>
    <r>
      <rPr>
        <b/>
        <sz val="11"/>
        <color theme="1"/>
        <rFont val="Calibri"/>
        <family val="2"/>
        <scheme val="minor"/>
      </rPr>
      <t/>
    </r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</si>
</sst>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20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28"/>
      <color theme="4" tint="-0.499984740745262"/>
      <name val="Calibri"/>
      <family val="2"/>
      <scheme val="minor"/>
    </font>
    <font>
      <b/>
      <sz val="36"/>
      <color theme="4" tint="-0.499984740745262"/>
      <name val="Calibri"/>
      <family val="2"/>
      <scheme val="minor"/>
    </font>
    <font>
      <b/>
      <u/>
      <sz val="24"/>
      <color theme="4" tint="-0.499984740745262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Border="1" applyAlignment="1">
      <alignment horizontal="left" wrapText="1" indent="1" readingOrder="1"/>
    </xf>
    <xf numFmtId="15" fontId="2" fillId="0" borderId="0" xfId="0" applyNumberFormat="1" applyFont="1" applyBorder="1" applyAlignment="1">
      <alignment horizontal="left" wrapText="1" indent="1" readingOrder="1"/>
    </xf>
    <xf numFmtId="0" fontId="3" fillId="0" borderId="0" xfId="0" applyFont="1" applyBorder="1" applyAlignment="1">
      <alignment horizontal="center" wrapText="1" readingOrder="1"/>
    </xf>
    <xf numFmtId="0" fontId="0" fillId="0" borderId="0" xfId="0" applyAlignment="1">
      <alignment horizontal="center" readingOrder="1"/>
    </xf>
    <xf numFmtId="0" fontId="2" fillId="0" borderId="0" xfId="0" applyFont="1" applyBorder="1" applyAlignment="1">
      <alignment horizontal="right" wrapText="1" readingOrder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wrapText="1" readingOrder="1"/>
    </xf>
    <xf numFmtId="0" fontId="2" fillId="0" borderId="0" xfId="0" applyNumberFormat="1" applyFont="1" applyAlignment="1">
      <alignment horizontal="left" wrapText="1" readingOrder="1"/>
    </xf>
    <xf numFmtId="0" fontId="0" fillId="2" borderId="0" xfId="0" applyFill="1"/>
    <xf numFmtId="0" fontId="1" fillId="2" borderId="0" xfId="0" applyFont="1" applyFill="1"/>
    <xf numFmtId="0" fontId="5" fillId="2" borderId="0" xfId="0" applyFont="1" applyFill="1"/>
    <xf numFmtId="0" fontId="8" fillId="2" borderId="0" xfId="0" applyFont="1" applyFill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1" fillId="0" borderId="0" xfId="0" applyFont="1" applyAlignment="1">
      <alignment horizontal="left" indent="2"/>
    </xf>
    <xf numFmtId="0" fontId="8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5"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0" formatCode="General"/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0" formatCode="General"/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right" vertical="bottom" textRotation="0" wrapText="1" indent="0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numFmt numFmtId="20" formatCode="dd\-mmm\-yy"/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left" vertical="bottom" textRotation="0" wrapText="1" indent="1" relativeIndent="0" justifyLastLine="0" shrinkToFit="0" mergeCell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bottom" textRotation="0" wrapText="1" indent="0" relativeIndent="0" justifyLastLine="0" shrinkToFit="0" mergeCell="0" readingOrder="1"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7"/>
  <c:pivotSource>
    <c:name>[HR Analytics &amp; Employee Performance Tracker.xlsx]Analytics!PivotTable1</c:name>
    <c:fmtId val="2"/>
  </c:pivotSource>
  <c:chart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</c:spPr>
      </c:pivotFmt>
      <c:pivotFmt>
        <c:idx val="1"/>
        <c:spPr>
          <a:solidFill>
            <a:schemeClr val="accent1">
              <a:lumMod val="50000"/>
            </a:schemeClr>
          </a:solidFill>
        </c:spPr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</c:spPr>
        <c:marker>
          <c:symbol val="none"/>
        </c:marker>
      </c:pivotFmt>
      <c:pivotFmt>
        <c:idx val="3"/>
        <c:spPr>
          <a:solidFill>
            <a:schemeClr val="accent1">
              <a:lumMod val="50000"/>
            </a:schemeClr>
          </a:solidFill>
        </c:spPr>
        <c:marker>
          <c:symbol val="none"/>
        </c:marker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</c:spPr>
        <c:marker>
          <c:symbol val="none"/>
        </c:marker>
      </c:pivotFmt>
      <c:pivotFmt>
        <c:idx val="5"/>
        <c:spPr>
          <a:solidFill>
            <a:schemeClr val="accent1">
              <a:lumMod val="50000"/>
            </a:schemeClr>
          </a:solidFill>
        </c:spPr>
        <c:marker>
          <c:symbol val="none"/>
        </c:marker>
      </c:pivotFmt>
    </c:pivotFmts>
    <c:view3D>
      <c:rAngAx val="1"/>
    </c:view3D>
    <c:floor>
      <c:spPr>
        <a:solidFill>
          <a:schemeClr val="accent1"/>
        </a:solidFill>
      </c:spPr>
    </c:floor>
    <c:plotArea>
      <c:layout/>
      <c:bar3DChart>
        <c:barDir val="col"/>
        <c:grouping val="clustered"/>
        <c:ser>
          <c:idx val="0"/>
          <c:order val="0"/>
          <c:tx>
            <c:strRef>
              <c:f>Analytics!$B$1:$B$2</c:f>
              <c:strCache>
                <c:ptCount val="1"/>
                <c:pt idx="0">
                  <c:v>Count of Emp ID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cat>
            <c:strRef>
              <c:f>Analytics!$A$3:$A$7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Analytics!$B$3:$B$7</c:f>
              <c:numCache>
                <c:formatCode>General</c:formatCode>
                <c:ptCount val="4"/>
                <c:pt idx="0">
                  <c:v>10</c:v>
                </c:pt>
                <c:pt idx="1">
                  <c:v>10</c:v>
                </c:pt>
                <c:pt idx="2">
                  <c:v>15</c:v>
                </c:pt>
                <c:pt idx="3">
                  <c:v>15</c:v>
                </c:pt>
              </c:numCache>
            </c:numRef>
          </c:val>
        </c:ser>
        <c:ser>
          <c:idx val="1"/>
          <c:order val="1"/>
          <c:tx>
            <c:strRef>
              <c:f>Analytics!$C$1:$C$2</c:f>
              <c:strCache>
                <c:ptCount val="1"/>
                <c:pt idx="0">
                  <c:v>Sum of Salary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</c:spPr>
          <c:cat>
            <c:strRef>
              <c:f>Analytics!$A$3:$A$7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Analytics!$C$3:$C$7</c:f>
              <c:numCache>
                <c:formatCode>General</c:formatCode>
                <c:ptCount val="4"/>
                <c:pt idx="0">
                  <c:v>627000</c:v>
                </c:pt>
                <c:pt idx="1">
                  <c:v>477000</c:v>
                </c:pt>
                <c:pt idx="2">
                  <c:v>847500</c:v>
                </c:pt>
                <c:pt idx="3">
                  <c:v>500000</c:v>
                </c:pt>
              </c:numCache>
            </c:numRef>
          </c:val>
        </c:ser>
        <c:shape val="box"/>
        <c:axId val="55335936"/>
        <c:axId val="55413376"/>
        <c:axId val="0"/>
      </c:bar3DChart>
      <c:catAx>
        <c:axId val="55335936"/>
        <c:scaling>
          <c:orientation val="minMax"/>
        </c:scaling>
        <c:axPos val="b"/>
        <c:tickLblPos val="nextTo"/>
        <c:txPr>
          <a:bodyPr/>
          <a:lstStyle/>
          <a:p>
            <a:pPr>
              <a:defRPr>
                <a:solidFill>
                  <a:srgbClr val="0070C0"/>
                </a:solidFill>
              </a:defRPr>
            </a:pPr>
            <a:endParaRPr lang="en-US"/>
          </a:p>
        </c:txPr>
        <c:crossAx val="55413376"/>
        <c:crosses val="autoZero"/>
        <c:auto val="1"/>
        <c:lblAlgn val="ctr"/>
        <c:lblOffset val="100"/>
      </c:catAx>
      <c:valAx>
        <c:axId val="55413376"/>
        <c:scaling>
          <c:orientation val="minMax"/>
        </c:scaling>
        <c:axPos val="l"/>
        <c:numFmt formatCode="General" sourceLinked="1"/>
        <c:tickLblPos val="nextTo"/>
        <c:spPr>
          <a:ln>
            <a:solidFill>
              <a:srgbClr val="FFC000"/>
            </a:solidFill>
          </a:ln>
        </c:spPr>
        <c:txPr>
          <a:bodyPr/>
          <a:lstStyle/>
          <a:p>
            <a:pPr>
              <a:defRPr>
                <a:solidFill>
                  <a:srgbClr val="7030A0"/>
                </a:solidFill>
              </a:defRPr>
            </a:pPr>
            <a:endParaRPr lang="en-US"/>
          </a:p>
        </c:txPr>
        <c:crossAx val="55335936"/>
        <c:crosses val="autoZero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rgbClr val="7030A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rgbClr val="7030A0"/>
                </a:solidFill>
              </a:defRPr>
            </a:pPr>
            <a:endParaRPr lang="en-US"/>
          </a:p>
        </c:txPr>
      </c:legendEntry>
      <c:layout/>
      <c:txPr>
        <a:bodyPr/>
        <a:lstStyle/>
        <a:p>
          <a:pPr>
            <a:defRPr>
              <a:solidFill>
                <a:srgbClr val="FFFF00"/>
              </a:solidFill>
            </a:defRPr>
          </a:pPr>
          <a:endParaRPr lang="en-US"/>
        </a:p>
      </c:txPr>
    </c:legend>
    <c:plotVisOnly val="1"/>
  </c:chart>
  <c:spPr>
    <a:solidFill>
      <a:schemeClr val="accent6">
        <a:lumMod val="60000"/>
        <a:lumOff val="40000"/>
      </a:schemeClr>
    </a:solidFill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Analytics &amp; Employee Performance Tracker.xlsx]Analytics!PivotTable5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accent1">
                    <a:lumMod val="50000"/>
                  </a:schemeClr>
                </a:solidFill>
              </a:defRPr>
            </a:pPr>
            <a:r>
              <a:rPr lang="en-US">
                <a:solidFill>
                  <a:schemeClr val="accent1">
                    <a:lumMod val="50000"/>
                  </a:schemeClr>
                </a:solidFill>
              </a:rPr>
              <a:t>ATTRITION</a:t>
            </a:r>
            <a:r>
              <a:rPr lang="en-US" baseline="0">
                <a:solidFill>
                  <a:schemeClr val="accent1">
                    <a:lumMod val="50000"/>
                  </a:schemeClr>
                </a:solidFill>
              </a:rPr>
              <a:t> RISK</a:t>
            </a:r>
            <a:endParaRPr lang="en-US">
              <a:solidFill>
                <a:schemeClr val="accent1">
                  <a:lumMod val="50000"/>
                </a:schemeClr>
              </a:solidFill>
            </a:endParaRP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showVal val="1"/>
        </c:dLbl>
      </c:pivotFmt>
      <c:pivotFmt>
        <c:idx val="3"/>
        <c:spPr>
          <a:solidFill>
            <a:schemeClr val="accent1">
              <a:lumMod val="50000"/>
            </a:schemeClr>
          </a:solidFill>
        </c:spPr>
        <c:dLbl>
          <c:idx val="0"/>
          <c:layout/>
          <c:spPr/>
          <c:txPr>
            <a:bodyPr/>
            <a:lstStyle/>
            <a:p>
              <a:pPr>
                <a:defRPr>
                  <a:solidFill>
                    <a:schemeClr val="accent4"/>
                  </a:solidFill>
                </a:defRPr>
              </a:pPr>
              <a:endParaRPr lang="en-US"/>
            </a:p>
          </c:txPr>
          <c:showPercent val="1"/>
        </c:dLbl>
      </c:pivotFmt>
      <c:pivotFmt>
        <c:idx val="4"/>
        <c:dLbl>
          <c:idx val="0"/>
          <c:layout/>
          <c:showPercent val="1"/>
        </c:dLbl>
      </c:pivotFmt>
    </c:pivotFmts>
    <c:plotArea>
      <c:layout/>
      <c:pieChart>
        <c:varyColors val="1"/>
        <c:ser>
          <c:idx val="0"/>
          <c:order val="0"/>
          <c:tx>
            <c:strRef>
              <c:f>Analytics!$B$9</c:f>
              <c:strCache>
                <c:ptCount val="1"/>
                <c:pt idx="0">
                  <c:v>Total</c:v>
                </c:pt>
              </c:strCache>
            </c:strRef>
          </c:tx>
          <c:dPt>
            <c:idx val="1"/>
            <c:spPr>
              <a:solidFill>
                <a:schemeClr val="accent1">
                  <a:lumMod val="50000"/>
                </a:schemeClr>
              </a:solidFill>
            </c:spPr>
          </c:dPt>
          <c:dLbls>
            <c:dLbl>
              <c:idx val="0"/>
              <c:layout/>
              <c:showPercent val="1"/>
            </c:dLbl>
            <c:dLbl>
              <c:idx val="1"/>
              <c:layout/>
              <c:spPr/>
              <c:txPr>
                <a:bodyPr/>
                <a:lstStyle/>
                <a:p>
                  <a:pPr>
                    <a:defRPr>
                      <a:solidFill>
                        <a:schemeClr val="accent4"/>
                      </a:solidFill>
                    </a:defRPr>
                  </a:pPr>
                  <a:endParaRPr lang="en-US"/>
                </a:p>
              </c:txPr>
              <c:showPercent val="1"/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Val val="1"/>
          </c:dLbls>
          <c:cat>
            <c:strRef>
              <c:f>Analytics!$A$10:$A$12</c:f>
              <c:strCache>
                <c:ptCount val="2"/>
                <c:pt idx="0">
                  <c:v>High Risk</c:v>
                </c:pt>
                <c:pt idx="1">
                  <c:v>Stable</c:v>
                </c:pt>
              </c:strCache>
            </c:strRef>
          </c:cat>
          <c:val>
            <c:numRef>
              <c:f>Analytics!$B$10:$B$12</c:f>
              <c:numCache>
                <c:formatCode>General</c:formatCode>
                <c:ptCount val="2"/>
                <c:pt idx="0">
                  <c:v>6</c:v>
                </c:pt>
                <c:pt idx="1">
                  <c:v>44</c:v>
                </c:pt>
              </c:numCache>
            </c:numRef>
          </c:val>
        </c:ser>
        <c:firstSliceAng val="0"/>
      </c:pieChart>
    </c:plotArea>
    <c:legend>
      <c:legendPos val="r"/>
      <c:legendEntry>
        <c:idx val="0"/>
        <c:txPr>
          <a:bodyPr/>
          <a:lstStyle/>
          <a:p>
            <a:pPr>
              <a:defRPr>
                <a:solidFill>
                  <a:srgbClr val="FF0000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>
                <a:solidFill>
                  <a:schemeClr val="accent6">
                    <a:lumMod val="50000"/>
                  </a:schemeClr>
                </a:solidFill>
              </a:defRPr>
            </a:pPr>
            <a:endParaRPr lang="en-US"/>
          </a:p>
        </c:txPr>
      </c:legendEntry>
      <c:layout/>
      <c:txPr>
        <a:bodyPr/>
        <a:lstStyle/>
        <a:p>
          <a:pPr>
            <a:defRPr>
              <a:solidFill>
                <a:srgbClr val="FFFF00"/>
              </a:solidFill>
            </a:defRPr>
          </a:pPr>
          <a:endParaRPr lang="en-US"/>
        </a:p>
      </c:txPr>
    </c:legend>
    <c:plotVisOnly val="1"/>
  </c:chart>
  <c:spPr>
    <a:solidFill>
      <a:schemeClr val="accent6">
        <a:lumMod val="60000"/>
        <a:lumOff val="40000"/>
      </a:schemeClr>
    </a:solidFill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[HR Analytics &amp; Employee Performance Tracker.xlsx]Analytics!PivotTable6</c:name>
    <c:fmtId val="2"/>
  </c:pivotSource>
  <c:chart>
    <c:title>
      <c:tx>
        <c:rich>
          <a:bodyPr/>
          <a:lstStyle/>
          <a:p>
            <a:pPr>
              <a:defRPr>
                <a:solidFill>
                  <a:schemeClr val="accent1">
                    <a:lumMod val="50000"/>
                  </a:schemeClr>
                </a:solidFill>
              </a:defRPr>
            </a:pPr>
            <a:r>
              <a:rPr lang="en-US" sz="1800" b="1" i="0" u="none" strike="noStrike" baseline="0">
                <a:solidFill>
                  <a:schemeClr val="accent1">
                    <a:lumMod val="50000"/>
                  </a:schemeClr>
                </a:solidFill>
              </a:rPr>
              <a:t>Regional Workforce Distribution</a:t>
            </a:r>
            <a:endParaRPr lang="en-US">
              <a:solidFill>
                <a:schemeClr val="accent1">
                  <a:lumMod val="50000"/>
                </a:schemeClr>
              </a:solidFill>
            </a:endParaRPr>
          </a:p>
        </c:rich>
      </c:tx>
      <c:layout/>
    </c:title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CatName val="1"/>
          <c:showPercent val="1"/>
        </c:dLbl>
      </c:pivotFmt>
      <c:pivotFmt>
        <c:idx val="3"/>
        <c:spPr>
          <a:solidFill>
            <a:schemeClr val="accent1">
              <a:lumMod val="50000"/>
            </a:schemeClr>
          </a:solidFill>
        </c:spPr>
        <c:dLbl>
          <c:idx val="0"/>
          <c:spPr/>
          <c:txPr>
            <a:bodyPr/>
            <a:lstStyle/>
            <a:p>
              <a:pPr>
                <a:defRPr>
                  <a:solidFill>
                    <a:srgbClr val="FFFF00"/>
                  </a:solidFill>
                </a:defRPr>
              </a:pPr>
              <a:endParaRPr lang="en-US"/>
            </a:p>
          </c:txPr>
        </c:dLbl>
      </c:pivotFmt>
      <c:pivotFmt>
        <c:idx val="4"/>
        <c:dLbl>
          <c:idx val="0"/>
          <c:spPr/>
          <c:txPr>
            <a:bodyPr/>
            <a:lstStyle/>
            <a:p>
              <a:pPr>
                <a:defRPr>
                  <a:solidFill>
                    <a:srgbClr val="FFFF00"/>
                  </a:solidFill>
                </a:defRPr>
              </a:pPr>
              <a:endParaRPr lang="en-US"/>
            </a:p>
          </c:txPr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Analytics!$F$9</c:f>
              <c:strCache>
                <c:ptCount val="1"/>
                <c:pt idx="0">
                  <c:v>Total</c:v>
                </c:pt>
              </c:strCache>
            </c:strRef>
          </c:tx>
          <c:dPt>
            <c:idx val="1"/>
            <c:spPr>
              <a:solidFill>
                <a:schemeClr val="accent1">
                  <a:lumMod val="50000"/>
                </a:schemeClr>
              </a:solidFill>
            </c:spPr>
          </c:dPt>
          <c:dLbls>
            <c:dLbl>
              <c:idx val="0"/>
              <c:spPr/>
              <c:txPr>
                <a:bodyPr/>
                <a:lstStyle/>
                <a:p>
                  <a:pPr>
                    <a:defRPr>
                      <a:solidFill>
                        <a:srgbClr val="FFFF00"/>
                      </a:solidFill>
                    </a:defRPr>
                  </a:pPr>
                  <a:endParaRPr lang="en-US"/>
                </a:p>
              </c:txPr>
            </c:dLbl>
            <c:dLbl>
              <c:idx val="1"/>
              <c:spPr/>
              <c:txPr>
                <a:bodyPr/>
                <a:lstStyle/>
                <a:p>
                  <a:pPr>
                    <a:defRPr>
                      <a:solidFill>
                        <a:srgbClr val="FFFF00"/>
                      </a:solidFill>
                    </a:defRPr>
                  </a:pPr>
                  <a:endParaRPr lang="en-US"/>
                </a:p>
              </c:txPr>
            </c:dLbl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CatName val="1"/>
            <c:showPercent val="1"/>
            <c:showLeaderLines val="1"/>
          </c:dLbls>
          <c:cat>
            <c:strRef>
              <c:f>Analytics!$E$10:$E$12</c:f>
              <c:strCache>
                <c:ptCount val="2"/>
                <c:pt idx="0">
                  <c:v>Indore</c:v>
                </c:pt>
                <c:pt idx="1">
                  <c:v>Udaipur</c:v>
                </c:pt>
              </c:strCache>
            </c:strRef>
          </c:cat>
          <c:val>
            <c:numRef>
              <c:f>Analytics!$F$10:$F$12</c:f>
              <c:numCache>
                <c:formatCode>General</c:formatCode>
                <c:ptCount val="2"/>
                <c:pt idx="0">
                  <c:v>26</c:v>
                </c:pt>
                <c:pt idx="1">
                  <c:v>24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>
            <a:defRPr>
              <a:solidFill>
                <a:srgbClr val="7030A0"/>
              </a:solidFill>
            </a:defRPr>
          </a:pPr>
          <a:endParaRPr lang="en-US"/>
        </a:p>
      </c:txPr>
    </c:legend>
    <c:plotVisOnly val="1"/>
  </c:chart>
  <c:spPr>
    <a:solidFill>
      <a:schemeClr val="accent6">
        <a:lumMod val="60000"/>
        <a:lumOff val="40000"/>
      </a:schemeClr>
    </a:solidFill>
    <a:ln>
      <a:noFill/>
    </a:ln>
  </c:spPr>
  <c:printSettings>
    <c:headerFooter/>
    <c:pageMargins b="0.75000000000000044" l="0.7000000000000004" r="0.7000000000000004" t="0.75000000000000044" header="0.30000000000000021" footer="0.3000000000000002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9</xdr:row>
      <xdr:rowOff>9525</xdr:rowOff>
    </xdr:from>
    <xdr:to>
      <xdr:col>7</xdr:col>
      <xdr:colOff>542925</xdr:colOff>
      <xdr:row>26</xdr:row>
      <xdr:rowOff>180975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219076</xdr:colOff>
      <xdr:row>8</xdr:row>
      <xdr:rowOff>114300</xdr:rowOff>
    </xdr:from>
    <xdr:to>
      <xdr:col>13</xdr:col>
      <xdr:colOff>142876</xdr:colOff>
      <xdr:row>16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504825</xdr:colOff>
      <xdr:row>15</xdr:row>
      <xdr:rowOff>76201</xdr:rowOff>
    </xdr:from>
    <xdr:to>
      <xdr:col>13</xdr:col>
      <xdr:colOff>495300</xdr:colOff>
      <xdr:row>27</xdr:row>
      <xdr:rowOff>171451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87.665110069443" createdVersion="3" refreshedVersion="3" minRefreshableVersion="3" recordCount="50">
  <cacheSource type="worksheet">
    <worksheetSource name="EmpData[#All]"/>
  </cacheSource>
  <cacheFields count="11">
    <cacheField name="Emp ID" numFmtId="0">
      <sharedItems/>
    </cacheField>
    <cacheField name="Full Name" numFmtId="0">
      <sharedItems/>
    </cacheField>
    <cacheField name="Department" numFmtId="0">
      <sharedItems count="4">
        <s v="IT"/>
        <s v="HR"/>
        <s v="Sales"/>
        <s v="Finance"/>
      </sharedItems>
    </cacheField>
    <cacheField name="Gender" numFmtId="0">
      <sharedItems/>
    </cacheField>
    <cacheField name="Joining Date" numFmtId="15">
      <sharedItems containsSemiMixedTypes="0" containsNonDate="0" containsDate="1" containsString="0" minDate="2023-01-10T00:00:00" maxDate="2025-02-02T00:00:00"/>
    </cacheField>
    <cacheField name="Salary" numFmtId="0">
      <sharedItems containsSemiMixedTypes="0" containsString="0" containsNumber="1" containsInteger="1" minValue="31000" maxValue="65000"/>
    </cacheField>
    <cacheField name="Rating" numFmtId="0">
      <sharedItems containsSemiMixedTypes="0" containsString="0" containsNumber="1" containsInteger="1" minValue="2" maxValue="5"/>
    </cacheField>
    <cacheField name="Leaves" numFmtId="0">
      <sharedItems containsSemiMixedTypes="0" containsString="0" containsNumber="1" containsInteger="1" minValue="0" maxValue="6"/>
    </cacheField>
    <cacheField name="Region" numFmtId="0">
      <sharedItems count="2">
        <s v="Indore"/>
        <s v="Udaipur"/>
      </sharedItems>
    </cacheField>
    <cacheField name="Attrition Risk" numFmtId="0">
      <sharedItems count="2">
        <s v="Stable"/>
        <s v="High Risk"/>
      </sharedItems>
    </cacheField>
    <cacheField name="Salary Bracket" numFmtId="0">
      <sharedItems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">
  <r>
    <s v="E001"/>
    <s v="Rahul Sharma"/>
    <x v="0"/>
    <s v="Male"/>
    <d v="2023-01-10T00:00:00"/>
    <n v="55000"/>
    <n v="4"/>
    <n v="2"/>
    <x v="0"/>
    <x v="0"/>
    <s v="Mid"/>
  </r>
  <r>
    <s v="E002"/>
    <s v="Priya Verma"/>
    <x v="1"/>
    <s v="Female"/>
    <d v="2023-02-15T00:00:00"/>
    <n v="48000"/>
    <n v="5"/>
    <n v="1"/>
    <x v="1"/>
    <x v="0"/>
    <s v="Mid"/>
  </r>
  <r>
    <s v="E003"/>
    <s v="Amit Patel"/>
    <x v="2"/>
    <s v="Male"/>
    <d v="2023-03-05T00:00:00"/>
    <n v="35000"/>
    <n v="3"/>
    <n v="4"/>
    <x v="0"/>
    <x v="0"/>
    <s v="Low"/>
  </r>
  <r>
    <s v="E004"/>
    <s v="Sneha Reddy"/>
    <x v="3"/>
    <s v="Female"/>
    <d v="2023-04-20T00:00:00"/>
    <n v="62000"/>
    <n v="4"/>
    <n v="0"/>
    <x v="1"/>
    <x v="0"/>
    <s v="High"/>
  </r>
  <r>
    <s v="E005"/>
    <s v="Vikram Singh"/>
    <x v="0"/>
    <s v="Male"/>
    <d v="2023-05-12T00:00:00"/>
    <n v="58000"/>
    <n v="2"/>
    <n v="5"/>
    <x v="0"/>
    <x v="1"/>
    <s v="High"/>
  </r>
  <r>
    <s v="E006"/>
    <s v="Ananya Gupta"/>
    <x v="2"/>
    <s v="Female"/>
    <d v="2023-06-01T00:00:00"/>
    <n v="32000"/>
    <n v="4"/>
    <n v="2"/>
    <x v="0"/>
    <x v="0"/>
    <s v="Low"/>
  </r>
  <r>
    <s v="E007"/>
    <s v="Rohan Mehta"/>
    <x v="0"/>
    <s v="Male"/>
    <d v="2023-07-18T00:00:00"/>
    <n v="54000"/>
    <n v="5"/>
    <n v="1"/>
    <x v="1"/>
    <x v="0"/>
    <s v="Mid"/>
  </r>
  <r>
    <s v="E008"/>
    <s v="Kavita Jain"/>
    <x v="1"/>
    <s v="Female"/>
    <d v="2023-08-25T00:00:00"/>
    <n v="46000"/>
    <n v="3"/>
    <n v="3"/>
    <x v="0"/>
    <x v="0"/>
    <s v="Mid"/>
  </r>
  <r>
    <s v="E009"/>
    <s v="Manish Ali"/>
    <x v="3"/>
    <s v="Male"/>
    <d v="2023-09-10T00:00:00"/>
    <n v="60000"/>
    <n v="4"/>
    <n v="1"/>
    <x v="1"/>
    <x v="0"/>
    <s v="High"/>
  </r>
  <r>
    <s v="E010"/>
    <s v="Pooja Dubey"/>
    <x v="2"/>
    <s v="Female"/>
    <d v="2023-10-05T00:00:00"/>
    <n v="34000"/>
    <n v="2"/>
    <n v="6"/>
    <x v="0"/>
    <x v="1"/>
    <s v="Low"/>
  </r>
  <r>
    <s v="E011"/>
    <s v="Karan Malhotra"/>
    <x v="0"/>
    <s v="Male"/>
    <d v="2023-11-15T00:00:00"/>
    <n v="57000"/>
    <n v="5"/>
    <n v="0"/>
    <x v="1"/>
    <x v="0"/>
    <s v="High"/>
  </r>
  <r>
    <s v="E012"/>
    <s v="Neha Kapoor"/>
    <x v="1"/>
    <s v="Female"/>
    <d v="2023-12-01T00:00:00"/>
    <n v="47000"/>
    <n v="4"/>
    <n v="2"/>
    <x v="0"/>
    <x v="0"/>
    <s v="Mid"/>
  </r>
  <r>
    <s v="E013"/>
    <s v="Suresh Iyer"/>
    <x v="2"/>
    <s v="Male"/>
    <d v="2024-01-10T00:00:00"/>
    <n v="33000"/>
    <n v="3"/>
    <n v="4"/>
    <x v="1"/>
    <x v="0"/>
    <s v="Low"/>
  </r>
  <r>
    <s v="E014"/>
    <s v="Megha Saxena"/>
    <x v="3"/>
    <s v="Female"/>
    <d v="2024-01-20T00:00:00"/>
    <n v="61000"/>
    <n v="5"/>
    <n v="1"/>
    <x v="0"/>
    <x v="0"/>
    <s v="High"/>
  </r>
  <r>
    <s v="E015"/>
    <s v="Aditya Joshi"/>
    <x v="0"/>
    <s v="Male"/>
    <d v="2024-02-05T00:00:00"/>
    <n v="56000"/>
    <n v="3"/>
    <n v="3"/>
    <x v="1"/>
    <x v="0"/>
    <s v="High"/>
  </r>
  <r>
    <s v="E016"/>
    <s v="Swati Mishra"/>
    <x v="2"/>
    <s v="Female"/>
    <d v="2024-02-12T00:00:00"/>
    <n v="31000"/>
    <n v="4"/>
    <n v="2"/>
    <x v="0"/>
    <x v="0"/>
    <s v="Low"/>
  </r>
  <r>
    <s v="E017"/>
    <s v="Deepak Kumar"/>
    <x v="0"/>
    <s v="Male"/>
    <d v="2024-03-01T00:00:00"/>
    <n v="53000"/>
    <n v="2"/>
    <n v="5"/>
    <x v="1"/>
    <x v="1"/>
    <s v="Mid"/>
  </r>
  <r>
    <s v="E018"/>
    <s v="Ritu Singh"/>
    <x v="1"/>
    <s v="Female"/>
    <d v="2024-03-15T00:00:00"/>
    <n v="49000"/>
    <n v="5"/>
    <n v="0"/>
    <x v="0"/>
    <x v="0"/>
    <s v="Mid"/>
  </r>
  <r>
    <s v="E019"/>
    <s v="Pankaj Vyas"/>
    <x v="3"/>
    <s v="Male"/>
    <d v="2024-03-25T00:00:00"/>
    <n v="63000"/>
    <n v="4"/>
    <n v="2"/>
    <x v="1"/>
    <x v="0"/>
    <s v="High"/>
  </r>
  <r>
    <s v="E020"/>
    <s v="Simran Kaur"/>
    <x v="2"/>
    <s v="Female"/>
    <d v="2024-04-05T00:00:00"/>
    <n v="36000"/>
    <n v="3"/>
    <n v="3"/>
    <x v="0"/>
    <x v="0"/>
    <s v="Low"/>
  </r>
  <r>
    <s v="E021"/>
    <s v="Yash Wardhan"/>
    <x v="0"/>
    <s v="Male"/>
    <d v="2024-04-10T00:00:00"/>
    <n v="59000"/>
    <n v="5"/>
    <n v="1"/>
    <x v="0"/>
    <x v="0"/>
    <s v="High"/>
  </r>
  <r>
    <s v="E022"/>
    <s v="Divya Pant"/>
    <x v="1"/>
    <s v="Female"/>
    <d v="2024-04-20T00:00:00"/>
    <n v="45000"/>
    <n v="4"/>
    <n v="2"/>
    <x v="1"/>
    <x v="0"/>
    <s v="Mid"/>
  </r>
  <r>
    <s v="E023"/>
    <s v="Nitin Gadkari"/>
    <x v="2"/>
    <s v="Male"/>
    <d v="2024-05-01T00:00:00"/>
    <n v="32500"/>
    <n v="2"/>
    <n v="4"/>
    <x v="0"/>
    <x v="1"/>
    <s v="Low"/>
  </r>
  <r>
    <s v="E024"/>
    <s v="Sapna Choudhary"/>
    <x v="3"/>
    <s v="Female"/>
    <d v="2024-05-15T00:00:00"/>
    <n v="64000"/>
    <n v="5"/>
    <n v="0"/>
    <x v="1"/>
    <x v="0"/>
    <s v="High"/>
  </r>
  <r>
    <s v="E025"/>
    <s v="Rahul Dravid"/>
    <x v="0"/>
    <s v="Male"/>
    <d v="2024-05-25T00:00:00"/>
    <n v="55500"/>
    <n v="4"/>
    <n v="2"/>
    <x v="0"/>
    <x v="0"/>
    <s v="High"/>
  </r>
  <r>
    <s v="E026"/>
    <s v="Ishani Bose"/>
    <x v="2"/>
    <s v="Female"/>
    <d v="2024-06-01T00:00:00"/>
    <n v="33500"/>
    <n v="3"/>
    <n v="3"/>
    <x v="1"/>
    <x v="0"/>
    <s v="Low"/>
  </r>
  <r>
    <s v="E027"/>
    <s v="Varun Dhawan"/>
    <x v="0"/>
    <s v="Male"/>
    <d v="2024-06-10T00:00:00"/>
    <n v="54500"/>
    <n v="5"/>
    <n v="1"/>
    <x v="0"/>
    <x v="0"/>
    <s v="Mid"/>
  </r>
  <r>
    <s v="E028"/>
    <s v="Kriti Sanon"/>
    <x v="1"/>
    <s v="Female"/>
    <d v="2024-06-20T00:00:00"/>
    <n v="48500"/>
    <n v="4"/>
    <n v="2"/>
    <x v="1"/>
    <x v="0"/>
    <s v="Mid"/>
  </r>
  <r>
    <s v="E029"/>
    <s v="Akash Ambani"/>
    <x v="3"/>
    <s v="Male"/>
    <d v="2024-07-01T00:00:00"/>
    <n v="65000"/>
    <n v="3"/>
    <n v="1"/>
    <x v="0"/>
    <x v="0"/>
    <s v="High"/>
  </r>
  <r>
    <s v="E030"/>
    <s v="Kiara Advani"/>
    <x v="2"/>
    <s v="Female"/>
    <d v="2024-07-15T00:00:00"/>
    <n v="34500"/>
    <n v="5"/>
    <n v="0"/>
    <x v="1"/>
    <x v="0"/>
    <s v="Low"/>
  </r>
  <r>
    <s v="E031"/>
    <s v="Virat Kohli"/>
    <x v="0"/>
    <s v="Male"/>
    <d v="2024-07-25T00:00:00"/>
    <n v="60000"/>
    <n v="5"/>
    <n v="0"/>
    <x v="0"/>
    <x v="0"/>
    <s v="High"/>
  </r>
  <r>
    <s v="E032"/>
    <s v="Anushka Sharma"/>
    <x v="1"/>
    <s v="Female"/>
    <d v="2024-08-01T00:00:00"/>
    <n v="50000"/>
    <n v="4"/>
    <n v="2"/>
    <x v="1"/>
    <x v="0"/>
    <s v="Mid"/>
  </r>
  <r>
    <s v="E033"/>
    <s v="MS Dhoni"/>
    <x v="2"/>
    <s v="Male"/>
    <d v="2024-08-10T00:00:00"/>
    <n v="35500"/>
    <n v="5"/>
    <n v="1"/>
    <x v="0"/>
    <x v="0"/>
    <s v="Low"/>
  </r>
  <r>
    <s v="E034"/>
    <s v="Sakshi Rawat"/>
    <x v="3"/>
    <s v="Female"/>
    <d v="2024-08-20T00:00:00"/>
    <n v="62500"/>
    <n v="3"/>
    <n v="3"/>
    <x v="1"/>
    <x v="0"/>
    <s v="High"/>
  </r>
  <r>
    <s v="E035"/>
    <s v="Rohit Sharma"/>
    <x v="0"/>
    <s v="Male"/>
    <d v="2024-09-01T00:00:00"/>
    <n v="57500"/>
    <n v="4"/>
    <n v="2"/>
    <x v="0"/>
    <x v="0"/>
    <s v="High"/>
  </r>
  <r>
    <s v="E036"/>
    <s v="Ritika Sajdeh"/>
    <x v="2"/>
    <s v="Female"/>
    <d v="2024-09-15T00:00:00"/>
    <n v="32000"/>
    <n v="2"/>
    <n v="5"/>
    <x v="1"/>
    <x v="1"/>
    <s v="Low"/>
  </r>
  <r>
    <s v="E037"/>
    <s v="Hardik Pandya"/>
    <x v="0"/>
    <s v="Male"/>
    <d v="2024-09-25T00:00:00"/>
    <n v="58500"/>
    <n v="5"/>
    <n v="1"/>
    <x v="0"/>
    <x v="0"/>
    <s v="High"/>
  </r>
  <r>
    <s v="E038"/>
    <s v="Natasa Stankovic"/>
    <x v="1"/>
    <s v="Female"/>
    <d v="2024-10-01T00:00:00"/>
    <n v="47500"/>
    <n v="3"/>
    <n v="4"/>
    <x v="1"/>
    <x v="0"/>
    <s v="Mid"/>
  </r>
  <r>
    <s v="E039"/>
    <s v="KL Rahul"/>
    <x v="3"/>
    <s v="Male"/>
    <d v="2024-10-15T00:00:00"/>
    <n v="61500"/>
    <n v="4"/>
    <n v="2"/>
    <x v="0"/>
    <x v="0"/>
    <s v="High"/>
  </r>
  <r>
    <s v="E040"/>
    <s v="Athiya Shetty"/>
    <x v="2"/>
    <s v="Female"/>
    <d v="2024-10-25T00:00:00"/>
    <n v="33000"/>
    <n v="5"/>
    <n v="0"/>
    <x v="1"/>
    <x v="0"/>
    <s v="Low"/>
  </r>
  <r>
    <s v="E041"/>
    <s v="Jasprit Bumrah"/>
    <x v="0"/>
    <s v="Male"/>
    <d v="2024-11-01T00:00:00"/>
    <n v="59500"/>
    <n v="5"/>
    <n v="1"/>
    <x v="0"/>
    <x v="0"/>
    <s v="High"/>
  </r>
  <r>
    <s v="E042"/>
    <s v="Sanjana Ganesan"/>
    <x v="1"/>
    <s v="Female"/>
    <d v="2024-11-10T00:00:00"/>
    <n v="46500"/>
    <n v="4"/>
    <n v="2"/>
    <x v="1"/>
    <x v="0"/>
    <s v="Mid"/>
  </r>
  <r>
    <s v="E043"/>
    <s v="Rishabh Pant"/>
    <x v="2"/>
    <s v="Male"/>
    <d v="2024-11-20T00:00:00"/>
    <n v="34000"/>
    <n v="3"/>
    <n v="3"/>
    <x v="0"/>
    <x v="0"/>
    <s v="Low"/>
  </r>
  <r>
    <s v="E044"/>
    <s v="Isha Negi"/>
    <x v="3"/>
    <s v="Female"/>
    <d v="2024-12-01T00:00:00"/>
    <n v="63500"/>
    <n v="4"/>
    <n v="1"/>
    <x v="1"/>
    <x v="0"/>
    <s v="High"/>
  </r>
  <r>
    <s v="E045"/>
    <s v="Suryakumar Yadav"/>
    <x v="0"/>
    <s v="Male"/>
    <d v="2024-12-10T00:00:00"/>
    <n v="56500"/>
    <n v="5"/>
    <n v="0"/>
    <x v="0"/>
    <x v="0"/>
    <s v="High"/>
  </r>
  <r>
    <s v="E046"/>
    <s v="Devisha Shetty"/>
    <x v="2"/>
    <s v="Female"/>
    <d v="2024-12-20T00:00:00"/>
    <n v="31500"/>
    <n v="2"/>
    <n v="6"/>
    <x v="1"/>
    <x v="1"/>
    <s v="Low"/>
  </r>
  <r>
    <s v="E047"/>
    <s v="Shreyas Iyer"/>
    <x v="0"/>
    <s v="Male"/>
    <d v="2025-01-01T00:00:00"/>
    <n v="53500"/>
    <n v="4"/>
    <n v="2"/>
    <x v="0"/>
    <x v="0"/>
    <s v="Mid"/>
  </r>
  <r>
    <s v="E048"/>
    <s v="Dhanashree Verma"/>
    <x v="1"/>
    <s v="Female"/>
    <d v="2025-01-10T00:00:00"/>
    <n v="49500"/>
    <n v="5"/>
    <n v="1"/>
    <x v="1"/>
    <x v="0"/>
    <s v="Mid"/>
  </r>
  <r>
    <s v="E049"/>
    <s v="Shubman Gill"/>
    <x v="3"/>
    <s v="Male"/>
    <d v="2025-01-20T00:00:00"/>
    <n v="64500"/>
    <n v="3"/>
    <n v="2"/>
    <x v="0"/>
    <x v="0"/>
    <s v="High"/>
  </r>
  <r>
    <s v="E050"/>
    <s v="Sara Tendulkar"/>
    <x v="2"/>
    <s v="Female"/>
    <d v="2025-02-01T00:00:00"/>
    <n v="32500"/>
    <n v="4"/>
    <n v="3"/>
    <x v="1"/>
    <x v="0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E1:F4" firstHeaderRow="1" firstDataRow="1" firstDataCol="1"/>
  <pivotFields count="11">
    <pivotField showAll="0"/>
    <pivotField showAll="0"/>
    <pivotField showAll="0"/>
    <pivotField showAll="0"/>
    <pivotField numFmtId="15"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Average of Rating" fld="6" subtotal="average" baseField="0" baseItem="0"/>
  </dataFields>
  <formats count="2">
    <format dxfId="1">
      <pivotArea collapsedLevelsAreSubtotals="1" fieldPosition="0">
        <references count="1">
          <reference field="8" count="1">
            <x v="0"/>
          </reference>
        </references>
      </pivotArea>
    </format>
    <format dxfId="0">
      <pivotArea collapsedLevelsAreSubtotals="1" fieldPosition="0">
        <references count="1">
          <reference field="8" count="1">
            <x v="1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1:C7" firstHeaderRow="1" firstDataRow="2" firstDataCol="1"/>
  <pivotFields count="11">
    <pivotField dataField="1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15" showAll="0"/>
    <pivotField dataField="1" showAll="0"/>
    <pivotField showAll="0"/>
    <pivotField showAll="0"/>
    <pivotField showAll="0"/>
    <pivotField showAll="0" defaultSubtotal="0"/>
    <pivotField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 ID" fld="0" subtotal="count" baseField="0" baseItem="0"/>
    <dataField name="Sum of Salary" fld="5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E9:F12" firstHeaderRow="1" firstDataRow="1" firstDataCol="1"/>
  <pivotFields count="11">
    <pivotField dataField="1" showAll="0"/>
    <pivotField showAll="0"/>
    <pivotField showAll="0"/>
    <pivotField showAll="0"/>
    <pivotField numFmtId="15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Items count="1">
    <i/>
  </colItems>
  <dataFields count="1">
    <dataField name="Count of Emp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3">
  <location ref="A9:B12" firstHeaderRow="1" firstDataRow="1" firstDataCol="1"/>
  <pivotFields count="11">
    <pivotField dataField="1"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Emp 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EmpData" displayName="EmpData" ref="A1:K51" totalsRowShown="0" headerRowDxfId="14" dataDxfId="13">
  <autoFilter ref="A1:K51">
    <filterColumn colId="9"/>
    <filterColumn colId="10"/>
  </autoFilter>
  <tableColumns count="11">
    <tableColumn id="1" name="Emp ID" dataDxfId="12"/>
    <tableColumn id="2" name="Full Name" dataDxfId="11"/>
    <tableColumn id="3" name="Department" dataDxfId="10"/>
    <tableColumn id="4" name="Gender" dataDxfId="9"/>
    <tableColumn id="5" name="Joining Date" dataDxfId="8"/>
    <tableColumn id="6" name="Salary" dataDxfId="7"/>
    <tableColumn id="7" name="Rating" dataDxfId="6"/>
    <tableColumn id="8" name="Leaves" dataDxfId="5"/>
    <tableColumn id="9" name="Region" dataDxfId="4"/>
    <tableColumn id="10" name="Attrition Risk" dataDxfId="3">
      <calculatedColumnFormula>IF(AND(G2&lt;=2, H2&gt;3), "High Risk", "Stable")</calculatedColumnFormula>
    </tableColumn>
    <tableColumn id="11" name="Salary Bracket" dataDxfId="2">
      <calculatedColumnFormula>IF(F2&gt;55000, "High", IF(F2&gt;40000, "Mid", "Low"))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showGridLines="0" tabSelected="1" zoomScale="78" zoomScaleNormal="78" workbookViewId="0">
      <selection activeCell="E30" sqref="E30"/>
    </sheetView>
  </sheetViews>
  <sheetFormatPr defaultRowHeight="15"/>
  <cols>
    <col min="1" max="16384" width="9.140625" style="12"/>
  </cols>
  <sheetData>
    <row r="1" spans="1:15">
      <c r="A1" s="21" t="s">
        <v>130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31.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26.25">
      <c r="B4" s="22" t="s">
        <v>125</v>
      </c>
      <c r="C4" s="22"/>
      <c r="D4" s="22"/>
      <c r="E4" s="22"/>
      <c r="F4" s="14"/>
      <c r="G4" s="24" t="s">
        <v>126</v>
      </c>
      <c r="H4" s="24"/>
      <c r="I4" s="24"/>
      <c r="J4" s="24"/>
      <c r="K4" s="14"/>
      <c r="L4" s="24" t="s">
        <v>127</v>
      </c>
      <c r="M4" s="24"/>
      <c r="N4" s="24"/>
      <c r="O4" s="24"/>
    </row>
    <row r="5" spans="1:15">
      <c r="B5" s="23">
        <f>COUNTA(Employee_Database!A:A)-1</f>
        <v>50</v>
      </c>
      <c r="C5" s="23"/>
      <c r="D5" s="23"/>
      <c r="E5" s="23"/>
      <c r="F5" s="14"/>
      <c r="G5" s="25">
        <f>GETPIVOTDATA("Sum of Salary",Analytics!$A$1)</f>
        <v>2451500</v>
      </c>
      <c r="H5" s="25"/>
      <c r="I5" s="25"/>
      <c r="J5" s="25"/>
      <c r="K5" s="14"/>
      <c r="L5" s="25">
        <f>GETPIVOTDATA("Rating",Analytics!$E$1)</f>
        <v>3.86</v>
      </c>
      <c r="M5" s="25"/>
      <c r="N5" s="25"/>
      <c r="O5" s="25"/>
    </row>
    <row r="6" spans="1:15">
      <c r="B6" s="23"/>
      <c r="C6" s="23"/>
      <c r="D6" s="23"/>
      <c r="E6" s="23"/>
      <c r="F6" s="14"/>
      <c r="G6" s="25"/>
      <c r="H6" s="25"/>
      <c r="I6" s="25"/>
      <c r="J6" s="25"/>
      <c r="K6" s="14"/>
      <c r="L6" s="25"/>
      <c r="M6" s="25"/>
      <c r="N6" s="25"/>
      <c r="O6" s="25"/>
    </row>
    <row r="7" spans="1:15">
      <c r="B7" s="23"/>
      <c r="C7" s="23"/>
      <c r="D7" s="23"/>
      <c r="E7" s="23"/>
      <c r="F7" s="14"/>
      <c r="G7" s="25"/>
      <c r="H7" s="25"/>
      <c r="I7" s="25"/>
      <c r="J7" s="25"/>
      <c r="K7" s="14"/>
      <c r="L7" s="25"/>
      <c r="M7" s="25"/>
      <c r="N7" s="25"/>
      <c r="O7" s="25"/>
    </row>
    <row r="8" spans="1:15">
      <c r="B8" s="23"/>
      <c r="C8" s="23"/>
      <c r="D8" s="23"/>
      <c r="E8" s="23"/>
      <c r="F8" s="14"/>
      <c r="G8" s="25"/>
      <c r="H8" s="25"/>
      <c r="I8" s="25"/>
      <c r="J8" s="25"/>
      <c r="K8" s="14"/>
      <c r="L8" s="25"/>
      <c r="M8" s="25"/>
      <c r="N8" s="25"/>
      <c r="O8" s="25"/>
    </row>
    <row r="9" spans="1:15">
      <c r="L9" s="13"/>
      <c r="M9" s="13"/>
      <c r="N9" s="13"/>
      <c r="O9" s="13"/>
    </row>
  </sheetData>
  <mergeCells count="7">
    <mergeCell ref="A1:O2"/>
    <mergeCell ref="B4:E4"/>
    <mergeCell ref="B5:E8"/>
    <mergeCell ref="G4:J4"/>
    <mergeCell ref="G5:J8"/>
    <mergeCell ref="L4:O4"/>
    <mergeCell ref="L5:O8"/>
  </mergeCells>
  <pageMargins left="0.45" right="0.2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>
      <selection activeCell="O10" sqref="O10"/>
    </sheetView>
  </sheetViews>
  <sheetFormatPr defaultRowHeight="15"/>
  <cols>
    <col min="1" max="1" width="10.28515625" customWidth="1"/>
    <col min="2" max="2" width="16.28515625" customWidth="1"/>
    <col min="3" max="3" width="15" customWidth="1"/>
    <col min="4" max="4" width="10.85546875" customWidth="1"/>
    <col min="5" max="5" width="15.85546875" customWidth="1"/>
    <col min="6" max="6" width="9.28515625" customWidth="1"/>
    <col min="7" max="7" width="9.7109375" customWidth="1"/>
    <col min="8" max="8" width="10.85546875" customWidth="1"/>
    <col min="9" max="9" width="11" customWidth="1"/>
  </cols>
  <sheetData>
    <row r="1" spans="1:11" s="4" customFormat="1" ht="3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0" t="s">
        <v>123</v>
      </c>
      <c r="K1" s="10" t="s">
        <v>124</v>
      </c>
    </row>
    <row r="2" spans="1:11">
      <c r="A2" s="1" t="s">
        <v>9</v>
      </c>
      <c r="B2" s="1" t="s">
        <v>10</v>
      </c>
      <c r="C2" s="1" t="s">
        <v>11</v>
      </c>
      <c r="D2" s="1" t="s">
        <v>12</v>
      </c>
      <c r="E2" s="2">
        <v>44936</v>
      </c>
      <c r="F2" s="5">
        <v>55000</v>
      </c>
      <c r="G2" s="1">
        <v>4</v>
      </c>
      <c r="H2" s="1">
        <v>2</v>
      </c>
      <c r="I2" s="1" t="s">
        <v>13</v>
      </c>
      <c r="J2" s="8" t="str">
        <f t="shared" ref="J2:J33" si="0">IF(AND(G2&lt;=2, H2&gt;3), "High Risk", "Stable")</f>
        <v>Stable</v>
      </c>
      <c r="K2" s="8" t="str">
        <f t="shared" ref="K2:K33" si="1">IF(F2&gt;55000, "High", IF(F2&gt;40000, "Mid", "Low"))</f>
        <v>Mid</v>
      </c>
    </row>
    <row r="3" spans="1:11">
      <c r="A3" s="1" t="s">
        <v>14</v>
      </c>
      <c r="B3" s="1" t="s">
        <v>15</v>
      </c>
      <c r="C3" s="1" t="s">
        <v>16</v>
      </c>
      <c r="D3" s="1" t="s">
        <v>17</v>
      </c>
      <c r="E3" s="2">
        <v>44972</v>
      </c>
      <c r="F3" s="5">
        <v>48000</v>
      </c>
      <c r="G3" s="1">
        <v>5</v>
      </c>
      <c r="H3" s="1">
        <v>1</v>
      </c>
      <c r="I3" s="1" t="s">
        <v>18</v>
      </c>
      <c r="J3" s="11" t="str">
        <f t="shared" si="0"/>
        <v>Stable</v>
      </c>
      <c r="K3" s="11" t="str">
        <f t="shared" si="1"/>
        <v>Mid</v>
      </c>
    </row>
    <row r="4" spans="1:11">
      <c r="A4" s="1" t="s">
        <v>19</v>
      </c>
      <c r="B4" s="1" t="s">
        <v>20</v>
      </c>
      <c r="C4" s="1" t="s">
        <v>21</v>
      </c>
      <c r="D4" s="1" t="s">
        <v>12</v>
      </c>
      <c r="E4" s="2">
        <v>44990</v>
      </c>
      <c r="F4" s="5">
        <v>35000</v>
      </c>
      <c r="G4" s="1">
        <v>3</v>
      </c>
      <c r="H4" s="1">
        <v>4</v>
      </c>
      <c r="I4" s="1" t="s">
        <v>13</v>
      </c>
      <c r="J4" s="11" t="str">
        <f t="shared" si="0"/>
        <v>Stable</v>
      </c>
      <c r="K4" s="11" t="str">
        <f t="shared" si="1"/>
        <v>Low</v>
      </c>
    </row>
    <row r="5" spans="1:11">
      <c r="A5" s="1" t="s">
        <v>22</v>
      </c>
      <c r="B5" s="1" t="s">
        <v>23</v>
      </c>
      <c r="C5" s="1" t="s">
        <v>24</v>
      </c>
      <c r="D5" s="1" t="s">
        <v>17</v>
      </c>
      <c r="E5" s="2">
        <v>45036</v>
      </c>
      <c r="F5" s="5">
        <v>62000</v>
      </c>
      <c r="G5" s="1">
        <v>4</v>
      </c>
      <c r="H5" s="1">
        <v>0</v>
      </c>
      <c r="I5" s="1" t="s">
        <v>18</v>
      </c>
      <c r="J5" s="11" t="str">
        <f t="shared" si="0"/>
        <v>Stable</v>
      </c>
      <c r="K5" s="11" t="str">
        <f t="shared" si="1"/>
        <v>High</v>
      </c>
    </row>
    <row r="6" spans="1:11" ht="29.25">
      <c r="A6" s="1" t="s">
        <v>25</v>
      </c>
      <c r="B6" s="1" t="s">
        <v>26</v>
      </c>
      <c r="C6" s="1" t="s">
        <v>11</v>
      </c>
      <c r="D6" s="1" t="s">
        <v>12</v>
      </c>
      <c r="E6" s="2">
        <v>45058</v>
      </c>
      <c r="F6" s="5">
        <v>58000</v>
      </c>
      <c r="G6" s="1">
        <v>2</v>
      </c>
      <c r="H6" s="1">
        <v>5</v>
      </c>
      <c r="I6" s="1" t="s">
        <v>13</v>
      </c>
      <c r="J6" s="11" t="str">
        <f t="shared" si="0"/>
        <v>High Risk</v>
      </c>
      <c r="K6" s="11" t="str">
        <f t="shared" si="1"/>
        <v>High</v>
      </c>
    </row>
    <row r="7" spans="1:11">
      <c r="A7" s="1" t="s">
        <v>27</v>
      </c>
      <c r="B7" s="1" t="s">
        <v>28</v>
      </c>
      <c r="C7" s="1" t="s">
        <v>21</v>
      </c>
      <c r="D7" s="1" t="s">
        <v>17</v>
      </c>
      <c r="E7" s="2">
        <v>45078</v>
      </c>
      <c r="F7" s="5">
        <v>32000</v>
      </c>
      <c r="G7" s="1">
        <v>4</v>
      </c>
      <c r="H7" s="1">
        <v>2</v>
      </c>
      <c r="I7" s="1" t="s">
        <v>13</v>
      </c>
      <c r="J7" s="11" t="str">
        <f t="shared" si="0"/>
        <v>Stable</v>
      </c>
      <c r="K7" s="11" t="str">
        <f t="shared" si="1"/>
        <v>Low</v>
      </c>
    </row>
    <row r="8" spans="1:11">
      <c r="A8" s="1" t="s">
        <v>29</v>
      </c>
      <c r="B8" s="1" t="s">
        <v>30</v>
      </c>
      <c r="C8" s="1" t="s">
        <v>11</v>
      </c>
      <c r="D8" s="1" t="s">
        <v>12</v>
      </c>
      <c r="E8" s="2">
        <v>45125</v>
      </c>
      <c r="F8" s="5">
        <v>54000</v>
      </c>
      <c r="G8" s="1">
        <v>5</v>
      </c>
      <c r="H8" s="1">
        <v>1</v>
      </c>
      <c r="I8" s="1" t="s">
        <v>18</v>
      </c>
      <c r="J8" s="11" t="str">
        <f t="shared" si="0"/>
        <v>Stable</v>
      </c>
      <c r="K8" s="11" t="str">
        <f t="shared" si="1"/>
        <v>Mid</v>
      </c>
    </row>
    <row r="9" spans="1:11">
      <c r="A9" s="1" t="s">
        <v>31</v>
      </c>
      <c r="B9" s="1" t="s">
        <v>32</v>
      </c>
      <c r="C9" s="1" t="s">
        <v>16</v>
      </c>
      <c r="D9" s="1" t="s">
        <v>17</v>
      </c>
      <c r="E9" s="2">
        <v>45163</v>
      </c>
      <c r="F9" s="5">
        <v>46000</v>
      </c>
      <c r="G9" s="1">
        <v>3</v>
      </c>
      <c r="H9" s="1">
        <v>3</v>
      </c>
      <c r="I9" s="1" t="s">
        <v>13</v>
      </c>
      <c r="J9" s="11" t="str">
        <f t="shared" si="0"/>
        <v>Stable</v>
      </c>
      <c r="K9" s="11" t="str">
        <f t="shared" si="1"/>
        <v>Mid</v>
      </c>
    </row>
    <row r="10" spans="1:11">
      <c r="A10" s="1" t="s">
        <v>33</v>
      </c>
      <c r="B10" s="1" t="s">
        <v>34</v>
      </c>
      <c r="C10" s="1" t="s">
        <v>24</v>
      </c>
      <c r="D10" s="1" t="s">
        <v>12</v>
      </c>
      <c r="E10" s="2">
        <v>45179</v>
      </c>
      <c r="F10" s="5">
        <v>60000</v>
      </c>
      <c r="G10" s="1">
        <v>4</v>
      </c>
      <c r="H10" s="1">
        <v>1</v>
      </c>
      <c r="I10" s="1" t="s">
        <v>18</v>
      </c>
      <c r="J10" s="11" t="str">
        <f t="shared" si="0"/>
        <v>Stable</v>
      </c>
      <c r="K10" s="11" t="str">
        <f t="shared" si="1"/>
        <v>High</v>
      </c>
    </row>
    <row r="11" spans="1:11" ht="32.25" customHeight="1">
      <c r="A11" s="1" t="s">
        <v>35</v>
      </c>
      <c r="B11" s="1" t="s">
        <v>36</v>
      </c>
      <c r="C11" s="1" t="s">
        <v>21</v>
      </c>
      <c r="D11" s="1" t="s">
        <v>17</v>
      </c>
      <c r="E11" s="2">
        <v>45204</v>
      </c>
      <c r="F11" s="5">
        <v>34000</v>
      </c>
      <c r="G11" s="1">
        <v>2</v>
      </c>
      <c r="H11" s="1">
        <v>6</v>
      </c>
      <c r="I11" s="1" t="s">
        <v>13</v>
      </c>
      <c r="J11" s="11" t="str">
        <f t="shared" si="0"/>
        <v>High Risk</v>
      </c>
      <c r="K11" s="11" t="str">
        <f t="shared" si="1"/>
        <v>Low</v>
      </c>
    </row>
    <row r="12" spans="1:11" ht="29.25">
      <c r="A12" s="1" t="s">
        <v>37</v>
      </c>
      <c r="B12" s="1" t="s">
        <v>38</v>
      </c>
      <c r="C12" s="1" t="s">
        <v>11</v>
      </c>
      <c r="D12" s="1" t="s">
        <v>12</v>
      </c>
      <c r="E12" s="2">
        <v>45245</v>
      </c>
      <c r="F12" s="5">
        <v>57000</v>
      </c>
      <c r="G12" s="1">
        <v>5</v>
      </c>
      <c r="H12" s="1">
        <v>0</v>
      </c>
      <c r="I12" s="1" t="s">
        <v>18</v>
      </c>
      <c r="J12" s="11" t="str">
        <f t="shared" si="0"/>
        <v>Stable</v>
      </c>
      <c r="K12" s="11" t="str">
        <f t="shared" si="1"/>
        <v>High</v>
      </c>
    </row>
    <row r="13" spans="1:11">
      <c r="A13" s="1" t="s">
        <v>39</v>
      </c>
      <c r="B13" s="1" t="s">
        <v>40</v>
      </c>
      <c r="C13" s="1" t="s">
        <v>16</v>
      </c>
      <c r="D13" s="1" t="s">
        <v>17</v>
      </c>
      <c r="E13" s="2">
        <v>45261</v>
      </c>
      <c r="F13" s="5">
        <v>47000</v>
      </c>
      <c r="G13" s="1">
        <v>4</v>
      </c>
      <c r="H13" s="1">
        <v>2</v>
      </c>
      <c r="I13" s="1" t="s">
        <v>13</v>
      </c>
      <c r="J13" s="11" t="str">
        <f t="shared" si="0"/>
        <v>Stable</v>
      </c>
      <c r="K13" s="11" t="str">
        <f t="shared" si="1"/>
        <v>Mid</v>
      </c>
    </row>
    <row r="14" spans="1:11">
      <c r="A14" s="1" t="s">
        <v>41</v>
      </c>
      <c r="B14" s="1" t="s">
        <v>42</v>
      </c>
      <c r="C14" s="1" t="s">
        <v>21</v>
      </c>
      <c r="D14" s="1" t="s">
        <v>12</v>
      </c>
      <c r="E14" s="2">
        <v>45301</v>
      </c>
      <c r="F14" s="5">
        <v>33000</v>
      </c>
      <c r="G14" s="1">
        <v>3</v>
      </c>
      <c r="H14" s="1">
        <v>4</v>
      </c>
      <c r="I14" s="1" t="s">
        <v>18</v>
      </c>
      <c r="J14" s="11" t="str">
        <f t="shared" si="0"/>
        <v>Stable</v>
      </c>
      <c r="K14" s="11" t="str">
        <f t="shared" si="1"/>
        <v>Low</v>
      </c>
    </row>
    <row r="15" spans="1:11">
      <c r="A15" s="1" t="s">
        <v>43</v>
      </c>
      <c r="B15" s="1" t="s">
        <v>44</v>
      </c>
      <c r="C15" s="1" t="s">
        <v>24</v>
      </c>
      <c r="D15" s="1" t="s">
        <v>17</v>
      </c>
      <c r="E15" s="2">
        <v>45311</v>
      </c>
      <c r="F15" s="5">
        <v>61000</v>
      </c>
      <c r="G15" s="1">
        <v>5</v>
      </c>
      <c r="H15" s="1">
        <v>1</v>
      </c>
      <c r="I15" s="1" t="s">
        <v>13</v>
      </c>
      <c r="J15" s="11" t="str">
        <f t="shared" si="0"/>
        <v>Stable</v>
      </c>
      <c r="K15" s="11" t="str">
        <f t="shared" si="1"/>
        <v>High</v>
      </c>
    </row>
    <row r="16" spans="1:11">
      <c r="A16" s="1" t="s">
        <v>45</v>
      </c>
      <c r="B16" s="1" t="s">
        <v>46</v>
      </c>
      <c r="C16" s="1" t="s">
        <v>11</v>
      </c>
      <c r="D16" s="1" t="s">
        <v>12</v>
      </c>
      <c r="E16" s="2">
        <v>45327</v>
      </c>
      <c r="F16" s="5">
        <v>56000</v>
      </c>
      <c r="G16" s="1">
        <v>3</v>
      </c>
      <c r="H16" s="1">
        <v>3</v>
      </c>
      <c r="I16" s="1" t="s">
        <v>18</v>
      </c>
      <c r="J16" s="11" t="str">
        <f t="shared" si="0"/>
        <v>Stable</v>
      </c>
      <c r="K16" s="11" t="str">
        <f t="shared" si="1"/>
        <v>High</v>
      </c>
    </row>
    <row r="17" spans="1:11">
      <c r="A17" s="1" t="s">
        <v>47</v>
      </c>
      <c r="B17" s="1" t="s">
        <v>48</v>
      </c>
      <c r="C17" s="1" t="s">
        <v>21</v>
      </c>
      <c r="D17" s="1" t="s">
        <v>17</v>
      </c>
      <c r="E17" s="2">
        <v>45334</v>
      </c>
      <c r="F17" s="5">
        <v>31000</v>
      </c>
      <c r="G17" s="1">
        <v>4</v>
      </c>
      <c r="H17" s="1">
        <v>2</v>
      </c>
      <c r="I17" s="1" t="s">
        <v>13</v>
      </c>
      <c r="J17" s="11" t="str">
        <f t="shared" si="0"/>
        <v>Stable</v>
      </c>
      <c r="K17" s="11" t="str">
        <f t="shared" si="1"/>
        <v>Low</v>
      </c>
    </row>
    <row r="18" spans="1:11" ht="29.25">
      <c r="A18" s="1" t="s">
        <v>49</v>
      </c>
      <c r="B18" s="1" t="s">
        <v>50</v>
      </c>
      <c r="C18" s="1" t="s">
        <v>11</v>
      </c>
      <c r="D18" s="1" t="s">
        <v>12</v>
      </c>
      <c r="E18" s="2">
        <v>45352</v>
      </c>
      <c r="F18" s="5">
        <v>53000</v>
      </c>
      <c r="G18" s="1">
        <v>2</v>
      </c>
      <c r="H18" s="1">
        <v>5</v>
      </c>
      <c r="I18" s="1" t="s">
        <v>18</v>
      </c>
      <c r="J18" s="11" t="str">
        <f t="shared" si="0"/>
        <v>High Risk</v>
      </c>
      <c r="K18" s="11" t="str">
        <f t="shared" si="1"/>
        <v>Mid</v>
      </c>
    </row>
    <row r="19" spans="1:11">
      <c r="A19" s="1" t="s">
        <v>51</v>
      </c>
      <c r="B19" s="1" t="s">
        <v>52</v>
      </c>
      <c r="C19" s="1" t="s">
        <v>16</v>
      </c>
      <c r="D19" s="1" t="s">
        <v>17</v>
      </c>
      <c r="E19" s="2">
        <v>45366</v>
      </c>
      <c r="F19" s="5">
        <v>49000</v>
      </c>
      <c r="G19" s="1">
        <v>5</v>
      </c>
      <c r="H19" s="1">
        <v>0</v>
      </c>
      <c r="I19" s="1" t="s">
        <v>13</v>
      </c>
      <c r="J19" s="11" t="str">
        <f t="shared" si="0"/>
        <v>Stable</v>
      </c>
      <c r="K19" s="11" t="str">
        <f t="shared" si="1"/>
        <v>Mid</v>
      </c>
    </row>
    <row r="20" spans="1:11">
      <c r="A20" s="1" t="s">
        <v>53</v>
      </c>
      <c r="B20" s="1" t="s">
        <v>54</v>
      </c>
      <c r="C20" s="1" t="s">
        <v>24</v>
      </c>
      <c r="D20" s="1" t="s">
        <v>12</v>
      </c>
      <c r="E20" s="2">
        <v>45376</v>
      </c>
      <c r="F20" s="5">
        <v>63000</v>
      </c>
      <c r="G20" s="1">
        <v>4</v>
      </c>
      <c r="H20" s="1">
        <v>2</v>
      </c>
      <c r="I20" s="1" t="s">
        <v>18</v>
      </c>
      <c r="J20" s="11" t="str">
        <f t="shared" si="0"/>
        <v>Stable</v>
      </c>
      <c r="K20" s="11" t="str">
        <f t="shared" si="1"/>
        <v>High</v>
      </c>
    </row>
    <row r="21" spans="1:11">
      <c r="A21" s="1" t="s">
        <v>55</v>
      </c>
      <c r="B21" s="1" t="s">
        <v>56</v>
      </c>
      <c r="C21" s="1" t="s">
        <v>21</v>
      </c>
      <c r="D21" s="1" t="s">
        <v>17</v>
      </c>
      <c r="E21" s="2">
        <v>45387</v>
      </c>
      <c r="F21" s="5">
        <v>36000</v>
      </c>
      <c r="G21" s="1">
        <v>3</v>
      </c>
      <c r="H21" s="1">
        <v>3</v>
      </c>
      <c r="I21" s="1" t="s">
        <v>13</v>
      </c>
      <c r="J21" s="11" t="str">
        <f t="shared" si="0"/>
        <v>Stable</v>
      </c>
      <c r="K21" s="11" t="str">
        <f t="shared" si="1"/>
        <v>Low</v>
      </c>
    </row>
    <row r="22" spans="1:11">
      <c r="A22" s="1" t="s">
        <v>57</v>
      </c>
      <c r="B22" s="1" t="s">
        <v>58</v>
      </c>
      <c r="C22" s="1" t="s">
        <v>11</v>
      </c>
      <c r="D22" s="1" t="s">
        <v>12</v>
      </c>
      <c r="E22" s="2">
        <v>45392</v>
      </c>
      <c r="F22" s="5">
        <v>59000</v>
      </c>
      <c r="G22" s="1">
        <v>5</v>
      </c>
      <c r="H22" s="1">
        <v>1</v>
      </c>
      <c r="I22" s="1" t="s">
        <v>13</v>
      </c>
      <c r="J22" s="11" t="str">
        <f t="shared" si="0"/>
        <v>Stable</v>
      </c>
      <c r="K22" s="11" t="str">
        <f t="shared" si="1"/>
        <v>High</v>
      </c>
    </row>
    <row r="23" spans="1:11">
      <c r="A23" s="1" t="s">
        <v>59</v>
      </c>
      <c r="B23" s="1" t="s">
        <v>60</v>
      </c>
      <c r="C23" s="1" t="s">
        <v>16</v>
      </c>
      <c r="D23" s="1" t="s">
        <v>17</v>
      </c>
      <c r="E23" s="2">
        <v>45402</v>
      </c>
      <c r="F23" s="5">
        <v>45000</v>
      </c>
      <c r="G23" s="1">
        <v>4</v>
      </c>
      <c r="H23" s="1">
        <v>2</v>
      </c>
      <c r="I23" s="1" t="s">
        <v>18</v>
      </c>
      <c r="J23" s="11" t="str">
        <f t="shared" si="0"/>
        <v>Stable</v>
      </c>
      <c r="K23" s="11" t="str">
        <f t="shared" si="1"/>
        <v>Mid</v>
      </c>
    </row>
    <row r="24" spans="1:11" ht="33" customHeight="1">
      <c r="A24" s="1" t="s">
        <v>61</v>
      </c>
      <c r="B24" s="1" t="s">
        <v>62</v>
      </c>
      <c r="C24" s="1" t="s">
        <v>21</v>
      </c>
      <c r="D24" s="1" t="s">
        <v>12</v>
      </c>
      <c r="E24" s="2">
        <v>45413</v>
      </c>
      <c r="F24" s="5">
        <v>32500</v>
      </c>
      <c r="G24" s="1">
        <v>2</v>
      </c>
      <c r="H24" s="1">
        <v>4</v>
      </c>
      <c r="I24" s="1" t="s">
        <v>13</v>
      </c>
      <c r="J24" s="11" t="str">
        <f t="shared" si="0"/>
        <v>High Risk</v>
      </c>
      <c r="K24" s="11" t="str">
        <f t="shared" si="1"/>
        <v>Low</v>
      </c>
    </row>
    <row r="25" spans="1:11" ht="29.25">
      <c r="A25" s="1" t="s">
        <v>63</v>
      </c>
      <c r="B25" s="1" t="s">
        <v>64</v>
      </c>
      <c r="C25" s="1" t="s">
        <v>24</v>
      </c>
      <c r="D25" s="1" t="s">
        <v>17</v>
      </c>
      <c r="E25" s="2">
        <v>45427</v>
      </c>
      <c r="F25" s="5">
        <v>64000</v>
      </c>
      <c r="G25" s="1">
        <v>5</v>
      </c>
      <c r="H25" s="1">
        <v>0</v>
      </c>
      <c r="I25" s="1" t="s">
        <v>18</v>
      </c>
      <c r="J25" s="11" t="str">
        <f t="shared" si="0"/>
        <v>Stable</v>
      </c>
      <c r="K25" s="11" t="str">
        <f t="shared" si="1"/>
        <v>High</v>
      </c>
    </row>
    <row r="26" spans="1:11">
      <c r="A26" s="1" t="s">
        <v>65</v>
      </c>
      <c r="B26" s="1" t="s">
        <v>66</v>
      </c>
      <c r="C26" s="1" t="s">
        <v>11</v>
      </c>
      <c r="D26" s="1" t="s">
        <v>12</v>
      </c>
      <c r="E26" s="2">
        <v>45437</v>
      </c>
      <c r="F26" s="5">
        <v>55500</v>
      </c>
      <c r="G26" s="1">
        <v>4</v>
      </c>
      <c r="H26" s="1">
        <v>2</v>
      </c>
      <c r="I26" s="1" t="s">
        <v>13</v>
      </c>
      <c r="J26" s="11" t="str">
        <f t="shared" si="0"/>
        <v>Stable</v>
      </c>
      <c r="K26" s="11" t="str">
        <f t="shared" si="1"/>
        <v>High</v>
      </c>
    </row>
    <row r="27" spans="1:11">
      <c r="A27" s="1" t="s">
        <v>67</v>
      </c>
      <c r="B27" s="1" t="s">
        <v>68</v>
      </c>
      <c r="C27" s="1" t="s">
        <v>21</v>
      </c>
      <c r="D27" s="1" t="s">
        <v>17</v>
      </c>
      <c r="E27" s="2">
        <v>45444</v>
      </c>
      <c r="F27" s="5">
        <v>33500</v>
      </c>
      <c r="G27" s="1">
        <v>3</v>
      </c>
      <c r="H27" s="1">
        <v>3</v>
      </c>
      <c r="I27" s="1" t="s">
        <v>18</v>
      </c>
      <c r="J27" s="11" t="str">
        <f t="shared" si="0"/>
        <v>Stable</v>
      </c>
      <c r="K27" s="11" t="str">
        <f t="shared" si="1"/>
        <v>Low</v>
      </c>
    </row>
    <row r="28" spans="1:11">
      <c r="A28" s="1" t="s">
        <v>69</v>
      </c>
      <c r="B28" s="1" t="s">
        <v>70</v>
      </c>
      <c r="C28" s="1" t="s">
        <v>11</v>
      </c>
      <c r="D28" s="1" t="s">
        <v>12</v>
      </c>
      <c r="E28" s="2">
        <v>45453</v>
      </c>
      <c r="F28" s="5">
        <v>54500</v>
      </c>
      <c r="G28" s="1">
        <v>5</v>
      </c>
      <c r="H28" s="1">
        <v>1</v>
      </c>
      <c r="I28" s="1" t="s">
        <v>13</v>
      </c>
      <c r="J28" s="11" t="str">
        <f t="shared" si="0"/>
        <v>Stable</v>
      </c>
      <c r="K28" s="11" t="str">
        <f t="shared" si="1"/>
        <v>Mid</v>
      </c>
    </row>
    <row r="29" spans="1:11">
      <c r="A29" s="1" t="s">
        <v>71</v>
      </c>
      <c r="B29" s="1" t="s">
        <v>72</v>
      </c>
      <c r="C29" s="1" t="s">
        <v>16</v>
      </c>
      <c r="D29" s="1" t="s">
        <v>17</v>
      </c>
      <c r="E29" s="2">
        <v>45463</v>
      </c>
      <c r="F29" s="5">
        <v>48500</v>
      </c>
      <c r="G29" s="1">
        <v>4</v>
      </c>
      <c r="H29" s="1">
        <v>2</v>
      </c>
      <c r="I29" s="1" t="s">
        <v>18</v>
      </c>
      <c r="J29" s="11" t="str">
        <f t="shared" si="0"/>
        <v>Stable</v>
      </c>
      <c r="K29" s="11" t="str">
        <f t="shared" si="1"/>
        <v>Mid</v>
      </c>
    </row>
    <row r="30" spans="1:11">
      <c r="A30" s="1" t="s">
        <v>73</v>
      </c>
      <c r="B30" s="1" t="s">
        <v>74</v>
      </c>
      <c r="C30" s="1" t="s">
        <v>24</v>
      </c>
      <c r="D30" s="1" t="s">
        <v>12</v>
      </c>
      <c r="E30" s="2">
        <v>45474</v>
      </c>
      <c r="F30" s="5">
        <v>65000</v>
      </c>
      <c r="G30" s="1">
        <v>3</v>
      </c>
      <c r="H30" s="1">
        <v>1</v>
      </c>
      <c r="I30" s="1" t="s">
        <v>13</v>
      </c>
      <c r="J30" s="11" t="str">
        <f t="shared" si="0"/>
        <v>Stable</v>
      </c>
      <c r="K30" s="11" t="str">
        <f t="shared" si="1"/>
        <v>High</v>
      </c>
    </row>
    <row r="31" spans="1:11">
      <c r="A31" s="1" t="s">
        <v>75</v>
      </c>
      <c r="B31" s="1" t="s">
        <v>76</v>
      </c>
      <c r="C31" s="1" t="s">
        <v>21</v>
      </c>
      <c r="D31" s="1" t="s">
        <v>17</v>
      </c>
      <c r="E31" s="2">
        <v>45488</v>
      </c>
      <c r="F31" s="5">
        <v>34500</v>
      </c>
      <c r="G31" s="1">
        <v>5</v>
      </c>
      <c r="H31" s="1">
        <v>0</v>
      </c>
      <c r="I31" s="1" t="s">
        <v>18</v>
      </c>
      <c r="J31" s="11" t="str">
        <f t="shared" si="0"/>
        <v>Stable</v>
      </c>
      <c r="K31" s="11" t="str">
        <f t="shared" si="1"/>
        <v>Low</v>
      </c>
    </row>
    <row r="32" spans="1:11">
      <c r="A32" s="1" t="s">
        <v>77</v>
      </c>
      <c r="B32" s="1" t="s">
        <v>78</v>
      </c>
      <c r="C32" s="1" t="s">
        <v>11</v>
      </c>
      <c r="D32" s="1" t="s">
        <v>12</v>
      </c>
      <c r="E32" s="2">
        <v>45498</v>
      </c>
      <c r="F32" s="5">
        <v>60000</v>
      </c>
      <c r="G32" s="1">
        <v>5</v>
      </c>
      <c r="H32" s="1">
        <v>0</v>
      </c>
      <c r="I32" s="1" t="s">
        <v>13</v>
      </c>
      <c r="J32" s="11" t="str">
        <f t="shared" si="0"/>
        <v>Stable</v>
      </c>
      <c r="K32" s="11" t="str">
        <f t="shared" si="1"/>
        <v>High</v>
      </c>
    </row>
    <row r="33" spans="1:11" ht="29.25">
      <c r="A33" s="1" t="s">
        <v>79</v>
      </c>
      <c r="B33" s="1" t="s">
        <v>80</v>
      </c>
      <c r="C33" s="1" t="s">
        <v>16</v>
      </c>
      <c r="D33" s="1" t="s">
        <v>17</v>
      </c>
      <c r="E33" s="2">
        <v>45505</v>
      </c>
      <c r="F33" s="5">
        <v>50000</v>
      </c>
      <c r="G33" s="1">
        <v>4</v>
      </c>
      <c r="H33" s="1">
        <v>2</v>
      </c>
      <c r="I33" s="1" t="s">
        <v>18</v>
      </c>
      <c r="J33" s="11" t="str">
        <f t="shared" si="0"/>
        <v>Stable</v>
      </c>
      <c r="K33" s="11" t="str">
        <f t="shared" si="1"/>
        <v>Mid</v>
      </c>
    </row>
    <row r="34" spans="1:11">
      <c r="A34" s="1" t="s">
        <v>81</v>
      </c>
      <c r="B34" s="1" t="s">
        <v>82</v>
      </c>
      <c r="C34" s="1" t="s">
        <v>21</v>
      </c>
      <c r="D34" s="1" t="s">
        <v>12</v>
      </c>
      <c r="E34" s="2">
        <v>45514</v>
      </c>
      <c r="F34" s="5">
        <v>35500</v>
      </c>
      <c r="G34" s="1">
        <v>5</v>
      </c>
      <c r="H34" s="1">
        <v>1</v>
      </c>
      <c r="I34" s="1" t="s">
        <v>13</v>
      </c>
      <c r="J34" s="11" t="str">
        <f t="shared" ref="J34:J51" si="2">IF(AND(G34&lt;=2, H34&gt;3), "High Risk", "Stable")</f>
        <v>Stable</v>
      </c>
      <c r="K34" s="11" t="str">
        <f t="shared" ref="K34:K51" si="3">IF(F34&gt;55000, "High", IF(F34&gt;40000, "Mid", "Low"))</f>
        <v>Low</v>
      </c>
    </row>
    <row r="35" spans="1:11">
      <c r="A35" s="1" t="s">
        <v>83</v>
      </c>
      <c r="B35" s="1" t="s">
        <v>84</v>
      </c>
      <c r="C35" s="1" t="s">
        <v>24</v>
      </c>
      <c r="D35" s="1" t="s">
        <v>17</v>
      </c>
      <c r="E35" s="2">
        <v>45524</v>
      </c>
      <c r="F35" s="5">
        <v>62500</v>
      </c>
      <c r="G35" s="1">
        <v>3</v>
      </c>
      <c r="H35" s="1">
        <v>3</v>
      </c>
      <c r="I35" s="1" t="s">
        <v>18</v>
      </c>
      <c r="J35" s="11" t="str">
        <f t="shared" si="2"/>
        <v>Stable</v>
      </c>
      <c r="K35" s="11" t="str">
        <f t="shared" si="3"/>
        <v>High</v>
      </c>
    </row>
    <row r="36" spans="1:11">
      <c r="A36" s="1" t="s">
        <v>85</v>
      </c>
      <c r="B36" s="1" t="s">
        <v>86</v>
      </c>
      <c r="C36" s="1" t="s">
        <v>11</v>
      </c>
      <c r="D36" s="1" t="s">
        <v>12</v>
      </c>
      <c r="E36" s="2">
        <v>45536</v>
      </c>
      <c r="F36" s="5">
        <v>57500</v>
      </c>
      <c r="G36" s="1">
        <v>4</v>
      </c>
      <c r="H36" s="1">
        <v>2</v>
      </c>
      <c r="I36" s="1" t="s">
        <v>13</v>
      </c>
      <c r="J36" s="11" t="str">
        <f t="shared" si="2"/>
        <v>Stable</v>
      </c>
      <c r="K36" s="11" t="str">
        <f t="shared" si="3"/>
        <v>High</v>
      </c>
    </row>
    <row r="37" spans="1:11" ht="30" customHeight="1">
      <c r="A37" s="1" t="s">
        <v>87</v>
      </c>
      <c r="B37" s="1" t="s">
        <v>88</v>
      </c>
      <c r="C37" s="1" t="s">
        <v>21</v>
      </c>
      <c r="D37" s="1" t="s">
        <v>17</v>
      </c>
      <c r="E37" s="2">
        <v>45550</v>
      </c>
      <c r="F37" s="5">
        <v>32000</v>
      </c>
      <c r="G37" s="1">
        <v>2</v>
      </c>
      <c r="H37" s="1">
        <v>5</v>
      </c>
      <c r="I37" s="1" t="s">
        <v>18</v>
      </c>
      <c r="J37" s="11" t="str">
        <f t="shared" si="2"/>
        <v>High Risk</v>
      </c>
      <c r="K37" s="11" t="str">
        <f t="shared" si="3"/>
        <v>Low</v>
      </c>
    </row>
    <row r="38" spans="1:11">
      <c r="A38" s="1" t="s">
        <v>89</v>
      </c>
      <c r="B38" s="1" t="s">
        <v>90</v>
      </c>
      <c r="C38" s="1" t="s">
        <v>11</v>
      </c>
      <c r="D38" s="1" t="s">
        <v>12</v>
      </c>
      <c r="E38" s="2">
        <v>45560</v>
      </c>
      <c r="F38" s="5">
        <v>58500</v>
      </c>
      <c r="G38" s="1">
        <v>5</v>
      </c>
      <c r="H38" s="1">
        <v>1</v>
      </c>
      <c r="I38" s="1" t="s">
        <v>13</v>
      </c>
      <c r="J38" s="11" t="str">
        <f t="shared" si="2"/>
        <v>Stable</v>
      </c>
      <c r="K38" s="11" t="str">
        <f t="shared" si="3"/>
        <v>High</v>
      </c>
    </row>
    <row r="39" spans="1:11" ht="29.25">
      <c r="A39" s="1" t="s">
        <v>91</v>
      </c>
      <c r="B39" s="1" t="s">
        <v>92</v>
      </c>
      <c r="C39" s="1" t="s">
        <v>16</v>
      </c>
      <c r="D39" s="1" t="s">
        <v>17</v>
      </c>
      <c r="E39" s="2">
        <v>45566</v>
      </c>
      <c r="F39" s="5">
        <v>47500</v>
      </c>
      <c r="G39" s="1">
        <v>3</v>
      </c>
      <c r="H39" s="1">
        <v>4</v>
      </c>
      <c r="I39" s="1" t="s">
        <v>18</v>
      </c>
      <c r="J39" s="11" t="str">
        <f t="shared" si="2"/>
        <v>Stable</v>
      </c>
      <c r="K39" s="11" t="str">
        <f t="shared" si="3"/>
        <v>Mid</v>
      </c>
    </row>
    <row r="40" spans="1:11">
      <c r="A40" s="1" t="s">
        <v>93</v>
      </c>
      <c r="B40" s="1" t="s">
        <v>94</v>
      </c>
      <c r="C40" s="1" t="s">
        <v>24</v>
      </c>
      <c r="D40" s="1" t="s">
        <v>12</v>
      </c>
      <c r="E40" s="2">
        <v>45580</v>
      </c>
      <c r="F40" s="5">
        <v>61500</v>
      </c>
      <c r="G40" s="1">
        <v>4</v>
      </c>
      <c r="H40" s="1">
        <v>2</v>
      </c>
      <c r="I40" s="1" t="s">
        <v>13</v>
      </c>
      <c r="J40" s="11" t="str">
        <f t="shared" si="2"/>
        <v>Stable</v>
      </c>
      <c r="K40" s="11" t="str">
        <f t="shared" si="3"/>
        <v>High</v>
      </c>
    </row>
    <row r="41" spans="1:11">
      <c r="A41" s="1" t="s">
        <v>95</v>
      </c>
      <c r="B41" s="1" t="s">
        <v>96</v>
      </c>
      <c r="C41" s="1" t="s">
        <v>21</v>
      </c>
      <c r="D41" s="1" t="s">
        <v>17</v>
      </c>
      <c r="E41" s="2">
        <v>45590</v>
      </c>
      <c r="F41" s="5">
        <v>33000</v>
      </c>
      <c r="G41" s="1">
        <v>5</v>
      </c>
      <c r="H41" s="1">
        <v>0</v>
      </c>
      <c r="I41" s="1" t="s">
        <v>18</v>
      </c>
      <c r="J41" s="11" t="str">
        <f t="shared" si="2"/>
        <v>Stable</v>
      </c>
      <c r="K41" s="11" t="str">
        <f t="shared" si="3"/>
        <v>Low</v>
      </c>
    </row>
    <row r="42" spans="1:11" ht="29.25">
      <c r="A42" s="1" t="s">
        <v>97</v>
      </c>
      <c r="B42" s="1" t="s">
        <v>98</v>
      </c>
      <c r="C42" s="1" t="s">
        <v>11</v>
      </c>
      <c r="D42" s="1" t="s">
        <v>12</v>
      </c>
      <c r="E42" s="2">
        <v>45597</v>
      </c>
      <c r="F42" s="5">
        <v>59500</v>
      </c>
      <c r="G42" s="1">
        <v>5</v>
      </c>
      <c r="H42" s="1">
        <v>1</v>
      </c>
      <c r="I42" s="1" t="s">
        <v>13</v>
      </c>
      <c r="J42" s="11" t="str">
        <f t="shared" si="2"/>
        <v>Stable</v>
      </c>
      <c r="K42" s="11" t="str">
        <f t="shared" si="3"/>
        <v>High</v>
      </c>
    </row>
    <row r="43" spans="1:11" ht="29.25">
      <c r="A43" s="1" t="s">
        <v>99</v>
      </c>
      <c r="B43" s="1" t="s">
        <v>100</v>
      </c>
      <c r="C43" s="1" t="s">
        <v>16</v>
      </c>
      <c r="D43" s="1" t="s">
        <v>17</v>
      </c>
      <c r="E43" s="2">
        <v>45606</v>
      </c>
      <c r="F43" s="5">
        <v>46500</v>
      </c>
      <c r="G43" s="1">
        <v>4</v>
      </c>
      <c r="H43" s="1">
        <v>2</v>
      </c>
      <c r="I43" s="1" t="s">
        <v>18</v>
      </c>
      <c r="J43" s="11" t="str">
        <f t="shared" si="2"/>
        <v>Stable</v>
      </c>
      <c r="K43" s="11" t="str">
        <f t="shared" si="3"/>
        <v>Mid</v>
      </c>
    </row>
    <row r="44" spans="1:11">
      <c r="A44" s="1" t="s">
        <v>101</v>
      </c>
      <c r="B44" s="1" t="s">
        <v>102</v>
      </c>
      <c r="C44" s="1" t="s">
        <v>21</v>
      </c>
      <c r="D44" s="1" t="s">
        <v>12</v>
      </c>
      <c r="E44" s="2">
        <v>45616</v>
      </c>
      <c r="F44" s="5">
        <v>34000</v>
      </c>
      <c r="G44" s="1">
        <v>3</v>
      </c>
      <c r="H44" s="1">
        <v>3</v>
      </c>
      <c r="I44" s="1" t="s">
        <v>13</v>
      </c>
      <c r="J44" s="11" t="str">
        <f t="shared" si="2"/>
        <v>Stable</v>
      </c>
      <c r="K44" s="11" t="str">
        <f t="shared" si="3"/>
        <v>Low</v>
      </c>
    </row>
    <row r="45" spans="1:11">
      <c r="A45" s="1" t="s">
        <v>103</v>
      </c>
      <c r="B45" s="1" t="s">
        <v>104</v>
      </c>
      <c r="C45" s="1" t="s">
        <v>24</v>
      </c>
      <c r="D45" s="1" t="s">
        <v>17</v>
      </c>
      <c r="E45" s="2">
        <v>45627</v>
      </c>
      <c r="F45" s="5">
        <v>63500</v>
      </c>
      <c r="G45" s="1">
        <v>4</v>
      </c>
      <c r="H45" s="1">
        <v>1</v>
      </c>
      <c r="I45" s="1" t="s">
        <v>18</v>
      </c>
      <c r="J45" s="11" t="str">
        <f t="shared" si="2"/>
        <v>Stable</v>
      </c>
      <c r="K45" s="11" t="str">
        <f t="shared" si="3"/>
        <v>High</v>
      </c>
    </row>
    <row r="46" spans="1:11" ht="29.25">
      <c r="A46" s="1" t="s">
        <v>105</v>
      </c>
      <c r="B46" s="1" t="s">
        <v>106</v>
      </c>
      <c r="C46" s="1" t="s">
        <v>11</v>
      </c>
      <c r="D46" s="1" t="s">
        <v>12</v>
      </c>
      <c r="E46" s="2">
        <v>45636</v>
      </c>
      <c r="F46" s="5">
        <v>56500</v>
      </c>
      <c r="G46" s="1">
        <v>5</v>
      </c>
      <c r="H46" s="1">
        <v>0</v>
      </c>
      <c r="I46" s="1" t="s">
        <v>13</v>
      </c>
      <c r="J46" s="11" t="str">
        <f t="shared" si="2"/>
        <v>Stable</v>
      </c>
      <c r="K46" s="11" t="str">
        <f t="shared" si="3"/>
        <v>High</v>
      </c>
    </row>
    <row r="47" spans="1:11" ht="29.25">
      <c r="A47" s="1" t="s">
        <v>107</v>
      </c>
      <c r="B47" s="1" t="s">
        <v>108</v>
      </c>
      <c r="C47" s="1" t="s">
        <v>21</v>
      </c>
      <c r="D47" s="1" t="s">
        <v>17</v>
      </c>
      <c r="E47" s="2">
        <v>45646</v>
      </c>
      <c r="F47" s="5">
        <v>31500</v>
      </c>
      <c r="G47" s="1">
        <v>2</v>
      </c>
      <c r="H47" s="1">
        <v>6</v>
      </c>
      <c r="I47" s="1" t="s">
        <v>18</v>
      </c>
      <c r="J47" s="11" t="str">
        <f t="shared" si="2"/>
        <v>High Risk</v>
      </c>
      <c r="K47" s="11" t="str">
        <f t="shared" si="3"/>
        <v>Low</v>
      </c>
    </row>
    <row r="48" spans="1:11">
      <c r="A48" s="1" t="s">
        <v>109</v>
      </c>
      <c r="B48" s="1" t="s">
        <v>110</v>
      </c>
      <c r="C48" s="1" t="s">
        <v>11</v>
      </c>
      <c r="D48" s="1" t="s">
        <v>12</v>
      </c>
      <c r="E48" s="2">
        <v>45658</v>
      </c>
      <c r="F48" s="5">
        <v>53500</v>
      </c>
      <c r="G48" s="1">
        <v>4</v>
      </c>
      <c r="H48" s="1">
        <v>2</v>
      </c>
      <c r="I48" s="1" t="s">
        <v>13</v>
      </c>
      <c r="J48" s="11" t="str">
        <f t="shared" si="2"/>
        <v>Stable</v>
      </c>
      <c r="K48" s="11" t="str">
        <f t="shared" si="3"/>
        <v>Mid</v>
      </c>
    </row>
    <row r="49" spans="1:11" ht="29.25">
      <c r="A49" s="1" t="s">
        <v>111</v>
      </c>
      <c r="B49" s="1" t="s">
        <v>112</v>
      </c>
      <c r="C49" s="1" t="s">
        <v>16</v>
      </c>
      <c r="D49" s="1" t="s">
        <v>17</v>
      </c>
      <c r="E49" s="2">
        <v>45667</v>
      </c>
      <c r="F49" s="5">
        <v>49500</v>
      </c>
      <c r="G49" s="1">
        <v>5</v>
      </c>
      <c r="H49" s="1">
        <v>1</v>
      </c>
      <c r="I49" s="1" t="s">
        <v>18</v>
      </c>
      <c r="J49" s="11" t="str">
        <f t="shared" si="2"/>
        <v>Stable</v>
      </c>
      <c r="K49" s="11" t="str">
        <f t="shared" si="3"/>
        <v>Mid</v>
      </c>
    </row>
    <row r="50" spans="1:11">
      <c r="A50" s="1" t="s">
        <v>113</v>
      </c>
      <c r="B50" s="1" t="s">
        <v>114</v>
      </c>
      <c r="C50" s="1" t="s">
        <v>24</v>
      </c>
      <c r="D50" s="1" t="s">
        <v>12</v>
      </c>
      <c r="E50" s="2">
        <v>45677</v>
      </c>
      <c r="F50" s="5">
        <v>64500</v>
      </c>
      <c r="G50" s="1">
        <v>3</v>
      </c>
      <c r="H50" s="1">
        <v>2</v>
      </c>
      <c r="I50" s="1" t="s">
        <v>13</v>
      </c>
      <c r="J50" s="11" t="str">
        <f t="shared" si="2"/>
        <v>Stable</v>
      </c>
      <c r="K50" s="11" t="str">
        <f t="shared" si="3"/>
        <v>High</v>
      </c>
    </row>
    <row r="51" spans="1:11" ht="29.25">
      <c r="A51" s="1" t="s">
        <v>115</v>
      </c>
      <c r="B51" s="1" t="s">
        <v>116</v>
      </c>
      <c r="C51" s="1" t="s">
        <v>21</v>
      </c>
      <c r="D51" s="1" t="s">
        <v>17</v>
      </c>
      <c r="E51" s="2">
        <v>45689</v>
      </c>
      <c r="F51" s="5">
        <v>32500</v>
      </c>
      <c r="G51" s="1">
        <v>4</v>
      </c>
      <c r="H51" s="1">
        <v>3</v>
      </c>
      <c r="I51" s="1" t="s">
        <v>18</v>
      </c>
      <c r="J51" s="11" t="str">
        <f t="shared" si="2"/>
        <v>Stable</v>
      </c>
      <c r="K51" s="11" t="str">
        <f t="shared" si="3"/>
        <v>Low</v>
      </c>
    </row>
  </sheetData>
  <pageMargins left="0.2" right="0.2" top="0.25" bottom="0.25" header="0.3" footer="0.3"/>
  <pageSetup paperSize="9" scale="7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selection activeCell="E9" sqref="E9:F11"/>
    </sheetView>
  </sheetViews>
  <sheetFormatPr defaultRowHeight="15"/>
  <cols>
    <col min="1" max="1" width="13.140625" bestFit="1" customWidth="1"/>
    <col min="2" max="2" width="15.28515625" bestFit="1" customWidth="1"/>
    <col min="3" max="3" width="12.85546875" bestFit="1" customWidth="1"/>
    <col min="5" max="5" width="13.140625" bestFit="1" customWidth="1"/>
    <col min="6" max="6" width="15.28515625" customWidth="1"/>
  </cols>
  <sheetData>
    <row r="1" spans="1:6">
      <c r="B1" s="6" t="s">
        <v>120</v>
      </c>
      <c r="E1" s="6" t="s">
        <v>117</v>
      </c>
      <c r="F1" t="s">
        <v>122</v>
      </c>
    </row>
    <row r="2" spans="1:6">
      <c r="A2" s="6" t="s">
        <v>117</v>
      </c>
      <c r="B2" t="s">
        <v>119</v>
      </c>
      <c r="C2" t="s">
        <v>121</v>
      </c>
      <c r="E2" s="7" t="s">
        <v>13</v>
      </c>
      <c r="F2" s="9">
        <v>3.8846153846153846</v>
      </c>
    </row>
    <row r="3" spans="1:6">
      <c r="A3" s="7" t="s">
        <v>24</v>
      </c>
      <c r="B3" s="8">
        <v>10</v>
      </c>
      <c r="C3" s="8">
        <v>627000</v>
      </c>
      <c r="E3" s="7" t="s">
        <v>18</v>
      </c>
      <c r="F3" s="9">
        <v>3.8333333333333335</v>
      </c>
    </row>
    <row r="4" spans="1:6">
      <c r="A4" s="7" t="s">
        <v>16</v>
      </c>
      <c r="B4" s="8">
        <v>10</v>
      </c>
      <c r="C4" s="8">
        <v>477000</v>
      </c>
      <c r="E4" s="7" t="s">
        <v>118</v>
      </c>
      <c r="F4" s="8">
        <v>3.86</v>
      </c>
    </row>
    <row r="5" spans="1:6">
      <c r="A5" s="7" t="s">
        <v>11</v>
      </c>
      <c r="B5" s="8">
        <v>15</v>
      </c>
      <c r="C5" s="8">
        <v>847500</v>
      </c>
    </row>
    <row r="6" spans="1:6">
      <c r="A6" s="7" t="s">
        <v>21</v>
      </c>
      <c r="B6" s="8">
        <v>15</v>
      </c>
      <c r="C6" s="8">
        <v>500000</v>
      </c>
    </row>
    <row r="7" spans="1:6">
      <c r="A7" s="7" t="s">
        <v>118</v>
      </c>
      <c r="B7" s="8">
        <v>50</v>
      </c>
      <c r="C7" s="8">
        <v>2451500</v>
      </c>
    </row>
    <row r="9" spans="1:6">
      <c r="A9" s="6" t="s">
        <v>117</v>
      </c>
      <c r="B9" t="s">
        <v>119</v>
      </c>
      <c r="E9" s="6" t="s">
        <v>117</v>
      </c>
      <c r="F9" t="s">
        <v>119</v>
      </c>
    </row>
    <row r="10" spans="1:6">
      <c r="A10" s="7" t="s">
        <v>128</v>
      </c>
      <c r="B10" s="8">
        <v>6</v>
      </c>
      <c r="E10" s="7" t="s">
        <v>13</v>
      </c>
      <c r="F10" s="8">
        <v>26</v>
      </c>
    </row>
    <row r="11" spans="1:6">
      <c r="A11" s="7" t="s">
        <v>129</v>
      </c>
      <c r="B11" s="8">
        <v>44</v>
      </c>
      <c r="E11" s="7" t="s">
        <v>18</v>
      </c>
      <c r="F11" s="8">
        <v>24</v>
      </c>
    </row>
    <row r="12" spans="1:6">
      <c r="A12" s="7" t="s">
        <v>118</v>
      </c>
      <c r="B12" s="8">
        <v>50</v>
      </c>
      <c r="E12" s="7" t="s">
        <v>118</v>
      </c>
      <c r="F12" s="8">
        <v>50</v>
      </c>
    </row>
  </sheetData>
  <pageMargins left="0.7" right="0.7" top="0.75" bottom="0.75" header="0.3" footer="0.3"/>
  <pageSetup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1"/>
  <sheetViews>
    <sheetView showGridLines="0" workbookViewId="0">
      <selection activeCell="J7" sqref="J7"/>
    </sheetView>
  </sheetViews>
  <sheetFormatPr defaultRowHeight="15"/>
  <sheetData>
    <row r="1" spans="1:10" ht="23.25">
      <c r="A1" s="27" t="s">
        <v>131</v>
      </c>
      <c r="B1" s="27"/>
      <c r="C1" s="27"/>
      <c r="D1" s="27"/>
      <c r="E1" s="27"/>
      <c r="F1" s="27"/>
      <c r="G1" s="27"/>
      <c r="H1" s="27"/>
      <c r="I1" s="27"/>
      <c r="J1" s="27"/>
    </row>
    <row r="3" spans="1:10" ht="18">
      <c r="A3" s="16" t="s">
        <v>132</v>
      </c>
    </row>
    <row r="5" spans="1:10">
      <c r="A5" t="s">
        <v>146</v>
      </c>
    </row>
    <row r="6" spans="1:10">
      <c r="A6" t="s">
        <v>147</v>
      </c>
    </row>
    <row r="7" spans="1:10">
      <c r="A7" t="s">
        <v>148</v>
      </c>
    </row>
    <row r="9" spans="1:10">
      <c r="A9" t="s">
        <v>133</v>
      </c>
    </row>
    <row r="13" spans="1:10" ht="18">
      <c r="A13" s="16" t="s">
        <v>134</v>
      </c>
    </row>
    <row r="14" spans="1:10">
      <c r="A14" s="17"/>
    </row>
    <row r="15" spans="1:10">
      <c r="A15" s="18" t="s">
        <v>135</v>
      </c>
    </row>
    <row r="16" spans="1:10">
      <c r="A16" s="17"/>
    </row>
    <row r="17" spans="1:4">
      <c r="A17" s="18" t="s">
        <v>149</v>
      </c>
    </row>
    <row r="18" spans="1:4">
      <c r="A18" s="17"/>
      <c r="C18" t="s">
        <v>150</v>
      </c>
    </row>
    <row r="19" spans="1:4">
      <c r="A19" s="17"/>
    </row>
    <row r="20" spans="1:4">
      <c r="A20" s="18" t="s">
        <v>151</v>
      </c>
    </row>
    <row r="21" spans="1:4">
      <c r="A21" s="18"/>
      <c r="D21" t="s">
        <v>152</v>
      </c>
    </row>
    <row r="22" spans="1:4">
      <c r="A22" s="17"/>
    </row>
    <row r="23" spans="1:4">
      <c r="A23" s="18" t="s">
        <v>153</v>
      </c>
    </row>
    <row r="24" spans="1:4">
      <c r="A24" s="17"/>
      <c r="D24" t="s">
        <v>154</v>
      </c>
    </row>
    <row r="25" spans="1:4">
      <c r="A25" s="17"/>
    </row>
    <row r="26" spans="1:4">
      <c r="A26" s="18" t="s">
        <v>136</v>
      </c>
    </row>
    <row r="29" spans="1:4" ht="18">
      <c r="A29" s="16" t="s">
        <v>137</v>
      </c>
    </row>
    <row r="30" spans="1:4">
      <c r="A30" s="17"/>
    </row>
    <row r="31" spans="1:4">
      <c r="A31" s="18" t="s">
        <v>155</v>
      </c>
    </row>
    <row r="32" spans="1:4">
      <c r="A32" s="17"/>
      <c r="B32" t="s">
        <v>156</v>
      </c>
    </row>
    <row r="33" spans="1:3">
      <c r="A33" s="18" t="s">
        <v>138</v>
      </c>
    </row>
    <row r="34" spans="1:3">
      <c r="A34" s="19"/>
    </row>
    <row r="35" spans="1:3" ht="15.75">
      <c r="A35" s="20" t="s">
        <v>139</v>
      </c>
    </row>
    <row r="36" spans="1:3">
      <c r="A36" s="19"/>
    </row>
    <row r="37" spans="1:3">
      <c r="A37" s="20" t="s">
        <v>140</v>
      </c>
    </row>
    <row r="38" spans="1:3">
      <c r="A38" s="17"/>
    </row>
    <row r="39" spans="1:3">
      <c r="A39" s="18" t="s">
        <v>141</v>
      </c>
    </row>
    <row r="40" spans="1:3">
      <c r="A40" s="17"/>
    </row>
    <row r="41" spans="1:3">
      <c r="A41" s="18" t="s">
        <v>157</v>
      </c>
    </row>
    <row r="42" spans="1:3">
      <c r="C42" t="s">
        <v>158</v>
      </c>
    </row>
    <row r="44" spans="1:3" ht="18">
      <c r="A44" s="16" t="s">
        <v>142</v>
      </c>
    </row>
    <row r="45" spans="1:3">
      <c r="A45" s="17"/>
    </row>
    <row r="46" spans="1:3">
      <c r="A46" s="18" t="s">
        <v>143</v>
      </c>
    </row>
    <row r="47" spans="1:3">
      <c r="A47" s="17"/>
    </row>
    <row r="48" spans="1:3">
      <c r="A48" s="18" t="s">
        <v>144</v>
      </c>
    </row>
    <row r="49" spans="1:10">
      <c r="A49" s="17"/>
    </row>
    <row r="50" spans="1:10">
      <c r="A50" s="18" t="s">
        <v>145</v>
      </c>
    </row>
    <row r="51" spans="1:10">
      <c r="A51" s="26" t="s">
        <v>159</v>
      </c>
      <c r="B51" s="26"/>
      <c r="C51" s="26"/>
      <c r="D51" s="26"/>
      <c r="E51" s="26"/>
      <c r="F51" s="26"/>
      <c r="G51" s="26"/>
      <c r="H51" s="26"/>
      <c r="I51" s="26"/>
      <c r="J51" s="26"/>
    </row>
  </sheetData>
  <mergeCells count="2">
    <mergeCell ref="A51:J51"/>
    <mergeCell ref="A1:J1"/>
  </mergeCells>
  <pageMargins left="0.2" right="0.2" top="0.5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Employee_Database</vt:lpstr>
      <vt:lpstr>Analytics</vt:lpstr>
      <vt:lpstr>Documentation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2026-03-07T09:46:22Z</cp:lastPrinted>
  <dcterms:created xsi:type="dcterms:W3CDTF">2025-07-21T09:59:32Z</dcterms:created>
  <dcterms:modified xsi:type="dcterms:W3CDTF">2026-03-07T09:47:29Z</dcterms:modified>
</cp:coreProperties>
</file>